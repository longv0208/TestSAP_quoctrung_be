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autoCompressPictures="0" defaultThemeVersion="124226"/>
  <mc:AlternateContent xmlns:mc="http://schemas.openxmlformats.org/markup-compatibility/2006">
    <mc:Choice Requires="x15">
      <x15ac:absPath xmlns:x15ac="http://schemas.microsoft.com/office/spreadsheetml/2010/11/ac" url="C:\Users\VDBAY\Downloads\"/>
    </mc:Choice>
  </mc:AlternateContent>
  <bookViews>
    <workbookView xWindow="0" yWindow="0" windowWidth="20490" windowHeight="7665" firstSheet="1" activeTab="3"/>
  </bookViews>
  <sheets>
    <sheet name="Excel2LaTeX" sheetId="5" state="hidden" r:id="rId1"/>
    <sheet name="Tong hop" sheetId="6" r:id="rId2"/>
    <sheet name="Tong hop tien cong" sheetId="9" r:id="rId3"/>
    <sheet name="Chi tiet" sheetId="11" r:id="rId4"/>
  </sheets>
  <definedNames>
    <definedName name="_xlnm.Print_Area" localSheetId="3">'Chi tiet'!$A$1:$I$158</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L132" i="11" l="1"/>
  <c r="C21" i="9" l="1"/>
  <c r="D13" i="9"/>
  <c r="D12" i="9"/>
  <c r="D11" i="9"/>
  <c r="D10" i="9"/>
  <c r="D9" i="9"/>
  <c r="D8" i="9"/>
  <c r="D7" i="9"/>
  <c r="D6" i="9"/>
  <c r="D126" i="11"/>
  <c r="D121" i="11"/>
  <c r="D117" i="11"/>
  <c r="D112" i="11"/>
  <c r="D108" i="11"/>
  <c r="D103" i="11"/>
  <c r="D98" i="11"/>
  <c r="D94" i="11"/>
  <c r="D89" i="11"/>
  <c r="D85" i="11"/>
  <c r="D80" i="11"/>
  <c r="D76" i="11"/>
  <c r="D72" i="11"/>
  <c r="D69" i="11"/>
  <c r="D65" i="11"/>
  <c r="D60" i="11"/>
  <c r="D56" i="11"/>
  <c r="D52" i="11"/>
  <c r="D48" i="11"/>
  <c r="D44" i="11"/>
  <c r="D40" i="11"/>
  <c r="D34" i="11"/>
  <c r="D30" i="11"/>
  <c r="D26" i="11"/>
  <c r="D22" i="11"/>
  <c r="D18" i="11"/>
  <c r="D14" i="11"/>
  <c r="D10" i="11"/>
  <c r="F128" i="11"/>
  <c r="H128" i="11" s="1"/>
  <c r="F127" i="11"/>
  <c r="H127" i="11" s="1"/>
  <c r="F73" i="11"/>
  <c r="F71" i="11"/>
  <c r="D9" i="11" l="1"/>
  <c r="D39" i="11"/>
  <c r="D75" i="11"/>
  <c r="F126" i="11"/>
  <c r="D107" i="11"/>
  <c r="F11" i="9"/>
  <c r="F12" i="9"/>
  <c r="F125" i="11" l="1"/>
  <c r="H125" i="11" s="1"/>
  <c r="F124" i="11"/>
  <c r="H124" i="11" s="1"/>
  <c r="F123" i="11"/>
  <c r="H123" i="11" s="1"/>
  <c r="F122" i="11"/>
  <c r="F120" i="11"/>
  <c r="H120" i="11" s="1"/>
  <c r="F119" i="11"/>
  <c r="H119" i="11" s="1"/>
  <c r="F118" i="11"/>
  <c r="H118" i="11" s="1"/>
  <c r="F116" i="11"/>
  <c r="H116" i="11" s="1"/>
  <c r="F115" i="11"/>
  <c r="H115" i="11" s="1"/>
  <c r="F114" i="11"/>
  <c r="H114" i="11" s="1"/>
  <c r="F113" i="11"/>
  <c r="F111" i="11"/>
  <c r="H111" i="11" s="1"/>
  <c r="F110" i="11"/>
  <c r="H110" i="11" s="1"/>
  <c r="F109" i="11"/>
  <c r="H109" i="11" s="1"/>
  <c r="F117" i="11" l="1"/>
  <c r="H117" i="11" s="1"/>
  <c r="F121" i="11"/>
  <c r="F112" i="11"/>
  <c r="H112" i="11" s="1"/>
  <c r="H113" i="11"/>
  <c r="F108" i="11"/>
  <c r="H108" i="11" s="1"/>
  <c r="H122" i="11"/>
  <c r="H71" i="11"/>
  <c r="F70" i="11"/>
  <c r="F107" i="11" l="1"/>
  <c r="H121" i="11"/>
  <c r="H107" i="11" s="1"/>
  <c r="F69" i="11"/>
  <c r="H69" i="11" s="1"/>
  <c r="H70" i="11"/>
  <c r="D6" i="11"/>
  <c r="D5" i="11" s="1"/>
  <c r="F7" i="11"/>
  <c r="H7" i="11" l="1"/>
  <c r="F132" i="11"/>
  <c r="F10" i="9" l="1"/>
  <c r="I138" i="11"/>
  <c r="F82" i="11"/>
  <c r="H82" i="11" s="1"/>
  <c r="I5" i="11" l="1"/>
  <c r="F6" i="9"/>
  <c r="F13" i="9"/>
  <c r="F9" i="9"/>
  <c r="F8" i="9"/>
  <c r="F7" i="9"/>
  <c r="D15" i="9" l="1"/>
  <c r="F106" i="11"/>
  <c r="H106" i="11" s="1"/>
  <c r="F105" i="11"/>
  <c r="H105" i="11" s="1"/>
  <c r="F104" i="11"/>
  <c r="H104" i="11" s="1"/>
  <c r="F102" i="11"/>
  <c r="H102" i="11" s="1"/>
  <c r="F101" i="11"/>
  <c r="H101" i="11" s="1"/>
  <c r="F100" i="11"/>
  <c r="H100" i="11" s="1"/>
  <c r="F99" i="11"/>
  <c r="H99" i="11" s="1"/>
  <c r="F68" i="11"/>
  <c r="H68" i="11" s="1"/>
  <c r="F67" i="11"/>
  <c r="H67" i="11" s="1"/>
  <c r="F66" i="11"/>
  <c r="H66" i="11" s="1"/>
  <c r="F64" i="11"/>
  <c r="H64" i="11" s="1"/>
  <c r="F63" i="11"/>
  <c r="H63" i="11" s="1"/>
  <c r="F62" i="11"/>
  <c r="H62" i="11" s="1"/>
  <c r="F61" i="11"/>
  <c r="H61" i="11" s="1"/>
  <c r="F38" i="11"/>
  <c r="H38" i="11" s="1"/>
  <c r="F37" i="11"/>
  <c r="H37" i="11" s="1"/>
  <c r="F36" i="11"/>
  <c r="H36" i="11" s="1"/>
  <c r="F35" i="11"/>
  <c r="H35" i="11" s="1"/>
  <c r="F33" i="11"/>
  <c r="H33" i="11" s="1"/>
  <c r="F32" i="11"/>
  <c r="H32" i="11" s="1"/>
  <c r="F31" i="11"/>
  <c r="H31" i="11" s="1"/>
  <c r="F97" i="11"/>
  <c r="F96" i="11"/>
  <c r="F95" i="11"/>
  <c r="F93" i="11"/>
  <c r="F92" i="11"/>
  <c r="F91" i="11"/>
  <c r="F90" i="11"/>
  <c r="F88" i="11"/>
  <c r="F87" i="11"/>
  <c r="F86" i="11"/>
  <c r="F84" i="11"/>
  <c r="F83" i="11"/>
  <c r="F81" i="11"/>
  <c r="F79" i="11"/>
  <c r="F78" i="11"/>
  <c r="F77" i="11"/>
  <c r="F74" i="11"/>
  <c r="F59" i="11"/>
  <c r="F58" i="11"/>
  <c r="F57" i="11"/>
  <c r="F55" i="11"/>
  <c r="F54" i="11"/>
  <c r="F53" i="11"/>
  <c r="F51" i="11"/>
  <c r="F50" i="11"/>
  <c r="F49" i="11"/>
  <c r="F47" i="11"/>
  <c r="F46" i="11"/>
  <c r="F45" i="11"/>
  <c r="F43" i="11"/>
  <c r="F42" i="11"/>
  <c r="F41" i="11"/>
  <c r="F29" i="11"/>
  <c r="F28" i="11"/>
  <c r="F27" i="11"/>
  <c r="F25" i="11"/>
  <c r="F24" i="11"/>
  <c r="F23" i="11"/>
  <c r="F21" i="11"/>
  <c r="F20" i="11"/>
  <c r="F19" i="11"/>
  <c r="F17" i="11"/>
  <c r="F16" i="11"/>
  <c r="F15" i="11"/>
  <c r="F13" i="11"/>
  <c r="F12" i="11"/>
  <c r="F11" i="11"/>
  <c r="F8" i="11"/>
  <c r="F6" i="11" s="1"/>
  <c r="F30" i="11" l="1"/>
  <c r="H30" i="11" s="1"/>
  <c r="F10" i="11"/>
  <c r="F103" i="11"/>
  <c r="H103" i="11" s="1"/>
  <c r="F98" i="11"/>
  <c r="H98" i="11" s="1"/>
  <c r="F65" i="11"/>
  <c r="H65" i="11" s="1"/>
  <c r="F60" i="11"/>
  <c r="H60" i="11" s="1"/>
  <c r="F34" i="11"/>
  <c r="H34" i="11" s="1"/>
  <c r="H97" i="11" l="1"/>
  <c r="H96" i="11"/>
  <c r="H95" i="11"/>
  <c r="H93" i="11"/>
  <c r="H92" i="11"/>
  <c r="H91" i="11"/>
  <c r="H90" i="11"/>
  <c r="H88" i="11"/>
  <c r="H87" i="11"/>
  <c r="H86" i="11"/>
  <c r="H84" i="11"/>
  <c r="H83" i="11"/>
  <c r="H81" i="11"/>
  <c r="H79" i="11"/>
  <c r="H78" i="11"/>
  <c r="H77" i="11"/>
  <c r="H74" i="11"/>
  <c r="H73" i="11"/>
  <c r="H59" i="11"/>
  <c r="H58" i="11"/>
  <c r="H57" i="11"/>
  <c r="H55" i="11"/>
  <c r="H54" i="11"/>
  <c r="H53" i="11"/>
  <c r="H51" i="11"/>
  <c r="H50" i="11"/>
  <c r="H49" i="11"/>
  <c r="H47" i="11"/>
  <c r="H46" i="11"/>
  <c r="H45" i="11"/>
  <c r="H43" i="11"/>
  <c r="H42" i="11"/>
  <c r="H41" i="11"/>
  <c r="H29" i="11"/>
  <c r="H28" i="11"/>
  <c r="H27" i="11"/>
  <c r="H25" i="11"/>
  <c r="H24" i="11"/>
  <c r="H23" i="11"/>
  <c r="H21" i="11"/>
  <c r="H20" i="11"/>
  <c r="H19" i="11"/>
  <c r="H16" i="11"/>
  <c r="H17" i="11"/>
  <c r="H12" i="11"/>
  <c r="F18" i="11" l="1"/>
  <c r="H18" i="11" s="1"/>
  <c r="G134" i="11" l="1"/>
  <c r="I134" i="11"/>
  <c r="I132" i="11" l="1"/>
  <c r="H132" i="11"/>
  <c r="F5" i="9" l="1"/>
  <c r="F15" i="9" s="1"/>
  <c r="F11" i="6" l="1"/>
  <c r="F9" i="6"/>
  <c r="F8" i="6"/>
  <c r="F7" i="6"/>
  <c r="E16" i="6"/>
  <c r="E15" i="6"/>
  <c r="E14" i="6"/>
  <c r="E13" i="6"/>
  <c r="E11" i="6"/>
  <c r="E9" i="6"/>
  <c r="E8" i="6"/>
  <c r="E7" i="6"/>
  <c r="D11" i="6"/>
  <c r="D9" i="6"/>
  <c r="D8" i="6"/>
  <c r="D7" i="6"/>
  <c r="C16" i="6"/>
  <c r="C11" i="6"/>
  <c r="C9" i="6"/>
  <c r="C8" i="6"/>
  <c r="C7" i="6"/>
  <c r="E10" i="6"/>
  <c r="F15" i="6"/>
  <c r="F14" i="6"/>
  <c r="F13" i="6"/>
  <c r="F12" i="6"/>
  <c r="F10" i="6"/>
  <c r="D15" i="6"/>
  <c r="D14" i="6"/>
  <c r="D13" i="6"/>
  <c r="D10" i="6"/>
  <c r="C14" i="6"/>
  <c r="C13" i="6"/>
  <c r="F141" i="11"/>
  <c r="H141" i="11" s="1"/>
  <c r="F140" i="11"/>
  <c r="H140" i="11" s="1"/>
  <c r="F139" i="11"/>
  <c r="H139" i="11" s="1"/>
  <c r="F137" i="11"/>
  <c r="F136" i="11"/>
  <c r="F135" i="11"/>
  <c r="H15" i="11"/>
  <c r="H13" i="11"/>
  <c r="H11" i="11"/>
  <c r="H138" i="11" l="1"/>
  <c r="D17" i="6"/>
  <c r="G146" i="11"/>
  <c r="I146" i="11"/>
  <c r="H126" i="11"/>
  <c r="D12" i="6"/>
  <c r="H6" i="11"/>
  <c r="H8" i="11"/>
  <c r="C15" i="6"/>
  <c r="F17" i="6"/>
  <c r="F22" i="11"/>
  <c r="H22" i="11" s="1"/>
  <c r="F40" i="11"/>
  <c r="F56" i="11"/>
  <c r="H56" i="11" s="1"/>
  <c r="F94" i="11"/>
  <c r="H94" i="11" s="1"/>
  <c r="D16" i="6"/>
  <c r="F16" i="6"/>
  <c r="F52" i="11"/>
  <c r="H52" i="11" s="1"/>
  <c r="F76" i="11"/>
  <c r="F89" i="11"/>
  <c r="H89" i="11" s="1"/>
  <c r="C10" i="6"/>
  <c r="F14" i="11"/>
  <c r="F48" i="11"/>
  <c r="H48" i="11" s="1"/>
  <c r="F85" i="11"/>
  <c r="H85" i="11" s="1"/>
  <c r="F26" i="11"/>
  <c r="F44" i="11"/>
  <c r="H44" i="11" s="1"/>
  <c r="F72" i="11"/>
  <c r="H72" i="11" s="1"/>
  <c r="F80" i="11"/>
  <c r="H80" i="11" s="1"/>
  <c r="F138" i="11"/>
  <c r="F75" i="11" l="1"/>
  <c r="F39" i="11"/>
  <c r="H39" i="11" s="1"/>
  <c r="H26" i="11"/>
  <c r="F9" i="11"/>
  <c r="H14" i="11"/>
  <c r="F134" i="11"/>
  <c r="C12" i="6" s="1"/>
  <c r="H134" i="11"/>
  <c r="E12" i="6" s="1"/>
  <c r="D18" i="6"/>
  <c r="H76" i="11"/>
  <c r="H75" i="11" s="1"/>
  <c r="H40" i="11"/>
  <c r="H10" i="11"/>
  <c r="F18" i="6"/>
  <c r="H9" i="11" l="1"/>
  <c r="H5" i="11" s="1"/>
  <c r="F5" i="11"/>
  <c r="F146" i="11" s="1"/>
  <c r="F147" i="11" l="1"/>
  <c r="F148" i="11" s="1"/>
  <c r="C6" i="6"/>
  <c r="E6" i="6"/>
  <c r="H146" i="11"/>
  <c r="H147" i="11" l="1"/>
  <c r="E17" i="6" s="1"/>
  <c r="E18" i="6" s="1"/>
  <c r="C17" i="6"/>
  <c r="C18" i="6" s="1"/>
  <c r="D29" i="6" s="1"/>
  <c r="A2" i="5"/>
  <c r="H148" i="11" l="1"/>
  <c r="K148" i="11"/>
  <c r="D28" i="6"/>
  <c r="C24" i="6"/>
  <c r="D23" i="6" l="1"/>
  <c r="D25" i="6" s="1"/>
  <c r="C23" i="6"/>
  <c r="C25" i="6" s="1"/>
  <c r="E23" i="6" l="1"/>
  <c r="E25" i="6" s="1"/>
</calcChain>
</file>

<file path=xl/sharedStrings.xml><?xml version="1.0" encoding="utf-8"?>
<sst xmlns="http://schemas.openxmlformats.org/spreadsheetml/2006/main" count="320" uniqueCount="173">
  <si>
    <t>Tổng cộng</t>
  </si>
  <si>
    <t>STT</t>
  </si>
  <si>
    <t>Nội dung công việc</t>
  </si>
  <si>
    <t>Đơn vị tính</t>
  </si>
  <si>
    <t>Thư ký hành chính</t>
  </si>
  <si>
    <t>Chức danh</t>
  </si>
  <si>
    <t>Số ngày công/số lượng</t>
  </si>
  <si>
    <t>người</t>
  </si>
  <si>
    <t>Tiền công lao động trực tiếp</t>
  </si>
  <si>
    <t>Chi quản lý phí cơ quan chủ trì</t>
  </si>
  <si>
    <t>RangeAddress</t>
  </si>
  <si>
    <t>Options</t>
  </si>
  <si>
    <t>CellWidth</t>
  </si>
  <si>
    <t>Indent</t>
  </si>
  <si>
    <t>FileName</t>
  </si>
  <si>
    <t>du toan mau.tex</t>
  </si>
  <si>
    <t>Nội dung các khoản chi</t>
  </si>
  <si>
    <t>Tổng kinh phí</t>
  </si>
  <si>
    <t>Nguồn vốn</t>
  </si>
  <si>
    <t>Khoán chi</t>
  </si>
  <si>
    <t>Ngoài khoán</t>
  </si>
  <si>
    <t>NSNN</t>
  </si>
  <si>
    <t>Công lao động trực tiếp</t>
  </si>
  <si>
    <t>BẢNG TỔNG HỢP THANH TOÁN TIỀN CÔNG TRỰC TIẾP</t>
  </si>
  <si>
    <t>Họ và tên</t>
  </si>
  <si>
    <t>Tổng số ngày công</t>
  </si>
  <si>
    <t>HS tiền công/ ngày</t>
  </si>
  <si>
    <t>Tổng tiền</t>
  </si>
  <si>
    <t>TVC</t>
  </si>
  <si>
    <t>(Ký tên và đóng dấu)</t>
  </si>
  <si>
    <t>Thuyết minh</t>
  </si>
  <si>
    <t>Viết báo cáo tổng kết đề tài</t>
  </si>
  <si>
    <t>Công</t>
  </si>
  <si>
    <t>A</t>
  </si>
  <si>
    <t>Số ngày công, tiền công từng thành viên</t>
  </si>
  <si>
    <t>B</t>
  </si>
  <si>
    <t>Phân bổ kinh phí</t>
  </si>
  <si>
    <t>Ngân sách Nhà nước</t>
  </si>
  <si>
    <t>Nguồn vốn khác</t>
  </si>
  <si>
    <t>Thuê chuyên gia</t>
  </si>
  <si>
    <t>Nguyên, nhiên liệu, vât tư, phụ tùng, dụng cụ, năng lượng, tài liệu, số liệu, …</t>
  </si>
  <si>
    <t>Chi khác</t>
  </si>
  <si>
    <t>Công tác trong nước</t>
  </si>
  <si>
    <t>Chi điều tra, khảo sát</t>
  </si>
  <si>
    <t>Chi văn phòng phẩm, in ấn</t>
  </si>
  <si>
    <t>Sửa chữa, mua sắm tài sản cố định</t>
  </si>
  <si>
    <t>Chi đoàn ra</t>
  </si>
  <si>
    <t>Dịch vụ thuê ngoài phục vụ nghiên cứu</t>
  </si>
  <si>
    <t>Chi Hội thảo khoa học</t>
  </si>
  <si>
    <t>Chi hội thảo khoa học</t>
  </si>
  <si>
    <t>1.1</t>
  </si>
  <si>
    <t>Đơn vị tính: Đồng</t>
  </si>
  <si>
    <t>TỔNG</t>
  </si>
  <si>
    <t>TỔNG KINH PHÍ THỰC HIỆN</t>
  </si>
  <si>
    <t>Thành tiền 
(Đồng)</t>
  </si>
  <si>
    <t>Ngân sách</t>
  </si>
  <si>
    <t>Khác</t>
  </si>
  <si>
    <t>Nguồn kinh phí
(Đồng)</t>
  </si>
  <si>
    <t>Số tiền/Hệ số tiền công (hstcn)</t>
  </si>
  <si>
    <t>Khoán
chi</t>
  </si>
  <si>
    <t>Chi Hội đồng tư vấn</t>
  </si>
  <si>
    <t>Đợt 1</t>
  </si>
  <si>
    <t>Đợt 2</t>
  </si>
  <si>
    <t>Đợt 3</t>
  </si>
  <si>
    <t>Thành viên tổ thẩm định</t>
  </si>
  <si>
    <t>VIỆN TRƯỞNG</t>
  </si>
  <si>
    <t>CƠ QUAN CHỦ TRÌ NHIỆM VỤ</t>
  </si>
  <si>
    <t>BỘ PHẬN KẾ TOÁN</t>
  </si>
  <si>
    <t>Kế toán trưởng</t>
  </si>
  <si>
    <t>CHỦ NHIỆM NHIỆM VỤ</t>
  </si>
  <si>
    <t>(Ký và ghi rõ họ tên)</t>
  </si>
  <si>
    <t>Nguyễn Kỳ Phùng</t>
  </si>
  <si>
    <t>Trần Thị Cẩm Giang</t>
  </si>
  <si>
    <t>III. PHÂN BỔ KINH PHÍ THỰC HIỆN</t>
  </si>
  <si>
    <t>24. Cơ cấu phân bổ kinh phí</t>
  </si>
  <si>
    <t>25. Kế hoạch phân bổ kinh phí</t>
  </si>
  <si>
    <t>BẢNG GIẢI TRÌNH CHI TIẾT</t>
  </si>
  <si>
    <t>Xây dựng thuyết minh chi tiết đề tài</t>
  </si>
  <si>
    <t>1.2.1</t>
  </si>
  <si>
    <t>1.2.2</t>
  </si>
  <si>
    <t>1.2.3</t>
  </si>
  <si>
    <t>1.2.4</t>
  </si>
  <si>
    <t>1.2.5</t>
  </si>
  <si>
    <t>1.2.6</t>
  </si>
  <si>
    <t>1.2</t>
  </si>
  <si>
    <t>1.3</t>
  </si>
  <si>
    <t>1.3.1</t>
  </si>
  <si>
    <t>1.3.2</t>
  </si>
  <si>
    <t>1.3.3</t>
  </si>
  <si>
    <t>1.3.4</t>
  </si>
  <si>
    <t>1.3.5</t>
  </si>
  <si>
    <t>1.3.6</t>
  </si>
  <si>
    <t>1.4</t>
  </si>
  <si>
    <t>1.4.1</t>
  </si>
  <si>
    <t>1.4.2</t>
  </si>
  <si>
    <t>1.4.3</t>
  </si>
  <si>
    <t>1.4.5</t>
  </si>
  <si>
    <t>1.4.6</t>
  </si>
  <si>
    <t>1.4.4</t>
  </si>
  <si>
    <t>1.5</t>
  </si>
  <si>
    <t>7.1</t>
  </si>
  <si>
    <t>7.2</t>
  </si>
  <si>
    <t>7.3</t>
  </si>
  <si>
    <t>7.4</t>
  </si>
  <si>
    <t>Tổ trưởng tổ thẩm định</t>
  </si>
  <si>
    <t>CNNV</t>
  </si>
  <si>
    <t>7.4.1</t>
  </si>
  <si>
    <t>7.4.2</t>
  </si>
  <si>
    <t>7.4.3</t>
  </si>
  <si>
    <t>Hệ số lương cơ bản: 1.490.000 đồng</t>
  </si>
  <si>
    <t>1.2.7</t>
  </si>
  <si>
    <t>1.3.7</t>
  </si>
  <si>
    <t>1.3.8</t>
  </si>
  <si>
    <t>1.4.7</t>
  </si>
  <si>
    <t>IV. TỶ LỆ QUYỀN SỞ HỮU ĐỐI VỚI KẾT QUẢ NHIỆM VỤ</t>
  </si>
  <si>
    <t>1.</t>
  </si>
  <si>
    <t>Sở Khoa học và Công nghệ TP.HCM</t>
  </si>
  <si>
    <t>2.</t>
  </si>
  <si>
    <t>Viện Khoa học và Công nghệ Tính toán</t>
  </si>
  <si>
    <t>V. GIẢI TRÌNH CÁC KHOẢN CHI</t>
  </si>
  <si>
    <r>
      <rPr>
        <b/>
        <i/>
        <sz val="12"/>
        <color rgb="FF000000"/>
        <rFont val="Times New Roman"/>
        <family val="1"/>
      </rPr>
      <t>Chi tư vấn tuyển chọn nhiệm vụ KH&amp;CN</t>
    </r>
    <r>
      <rPr>
        <b/>
        <sz val="12"/>
        <color rgb="FF000000"/>
        <rFont val="Times New Roman"/>
        <family val="1"/>
      </rPr>
      <t xml:space="preserve"> (</t>
    </r>
    <r>
      <rPr>
        <i/>
        <sz val="12"/>
        <color rgb="FF000000"/>
        <rFont val="Times New Roman"/>
        <family val="1"/>
      </rPr>
      <t>Nhận xét đánh giá của ủy viên phản biện</t>
    </r>
    <r>
      <rPr>
        <b/>
        <sz val="12"/>
        <color rgb="FF000000"/>
        <rFont val="Times New Roman"/>
        <family val="1"/>
      </rPr>
      <t>)</t>
    </r>
  </si>
  <si>
    <r>
      <rPr>
        <b/>
        <i/>
        <sz val="12"/>
        <color rgb="FF000000"/>
        <rFont val="Times New Roman"/>
        <family val="1"/>
      </rPr>
      <t>Chi tư vấn giám định nhiệm vụ KH&amp;CN</t>
    </r>
    <r>
      <rPr>
        <b/>
        <sz val="12"/>
        <color rgb="FF000000"/>
        <rFont val="Times New Roman"/>
        <family val="1"/>
      </rPr>
      <t xml:space="preserve"> </t>
    </r>
    <r>
      <rPr>
        <i/>
        <sz val="12"/>
        <color rgb="FF000000"/>
        <rFont val="Times New Roman"/>
        <family val="1"/>
      </rPr>
      <t>(Nhận xét đánh giá của ủy viên phản biện</t>
    </r>
    <r>
      <rPr>
        <b/>
        <sz val="12"/>
        <color rgb="FF000000"/>
        <rFont val="Times New Roman"/>
        <family val="1"/>
      </rPr>
      <t>)</t>
    </r>
  </si>
  <si>
    <r>
      <rPr>
        <b/>
        <i/>
        <sz val="12"/>
        <color rgb="FF000000"/>
        <rFont val="Times New Roman"/>
        <family val="1"/>
      </rPr>
      <t>Chi tư vấn đánh giá nghiệm thu chính thức nhiệm vụ KH&amp;CN</t>
    </r>
    <r>
      <rPr>
        <b/>
        <sz val="12"/>
        <color rgb="FF000000"/>
        <rFont val="Times New Roman"/>
        <family val="1"/>
      </rPr>
      <t xml:space="preserve"> </t>
    </r>
    <r>
      <rPr>
        <i/>
        <sz val="12"/>
        <color rgb="FF000000"/>
        <rFont val="Times New Roman"/>
        <family val="1"/>
      </rPr>
      <t>(Nhận xét đánh giá của ủy viên phản biện)</t>
    </r>
  </si>
  <si>
    <t>Chi thẩm định tài chính của nhiệm vụ KH&amp;CN</t>
  </si>
  <si>
    <t>Nhiệm vụ</t>
  </si>
  <si>
    <t>Bằng chữ: Chín trăm triệu đồng</t>
  </si>
  <si>
    <t>Nguyễn Hùng Sơn</t>
  </si>
  <si>
    <t>Võ Đình Bảy</t>
  </si>
  <si>
    <t>Nghiên cứu các chiến lược cắt tỉa ứng viên hiệu quả để khai thác các đồ thị con từ một đồ thị lớn</t>
  </si>
  <si>
    <t>Phát biểu bài toán, định nghĩa, tính chất FSM trong một đồ thị có kích thước lớn</t>
  </si>
  <si>
    <t>Phát triển thuật toán khai thác đồ thị con phổ biến</t>
  </si>
  <si>
    <t>Mô tả cấu trúc dữ liệu và các giai đoạn xử lý của các thuật toán</t>
  </si>
  <si>
    <t>Đề xuất một chiến lược hiệu quả để cắt tỉa các đồ thị con không phổ biến, đồ thị con không phải là đồ thị đại diện</t>
  </si>
  <si>
    <t>Đề xuất thuật toán hiệu quả để khai thác các đồ thị con đại diện</t>
  </si>
  <si>
    <t>1.3.9</t>
  </si>
  <si>
    <t>Đề xuất một thuật toán song song và phân tán, kết hợp các kỹ thuật cắt tỉa ứng viên để khai thác các đồ thị có số lượng nút và cạnh lớn (hàng chục triệu nút và cạnh) trong một đồ thị lớn</t>
  </si>
  <si>
    <t>Phân tích các bộ dữ liệu đồ thị lớn của các mạng xã hội</t>
  </si>
  <si>
    <t>Nghiên cứu các kỹ thuật tính toán trong bộ nhớ để xử lý dữ liệu lớn và nhanh chóng phát hiện các mẫu</t>
  </si>
  <si>
    <t>Kiểm tra và đánh giá hiệu suất của các thuật toán mẫu liên quan đến MapReduce, Spark</t>
  </si>
  <si>
    <t>Đề xuất một chiến lược cắt tỉa không gian tìm kiếm mới và hiệu quả cho thuật toán sau này</t>
  </si>
  <si>
    <t>Kết hợp các chiến lược cắt tỉa ứng viên trên các hệ thống phân tán và thực nghiệm</t>
  </si>
  <si>
    <t>1.6</t>
  </si>
  <si>
    <t>1.5.1</t>
  </si>
  <si>
    <t>1.5.2</t>
  </si>
  <si>
    <t>1.5.3</t>
  </si>
  <si>
    <t>1.5.4</t>
  </si>
  <si>
    <t>Đề xuất các phương pháp hiệu quả để khai thác các luật kết hợp từ một đồ thị có kích thước lớn</t>
  </si>
  <si>
    <t>Phát biểu bài toán, định nghĩa, tính chất cho bài toán khai thác luật kết hợp từ một đồ thị có kích thước lớn</t>
  </si>
  <si>
    <t>Đề xuất các phương pháp hiệu quả để khai thác các luật kết hợp và luật kết hợp không dư thừa từ một đồ thị có kích thước lớn</t>
  </si>
  <si>
    <t>Nghiên cứu ứng dụng khai thác luật kết hợp trong dự đoán liên kết trên mạng xã hội</t>
  </si>
  <si>
    <t>Nguyễn Thị Thuý Loan</t>
  </si>
  <si>
    <t>Lê Nhật Tùng</t>
  </si>
  <si>
    <t>Phạm Minh Trí</t>
  </si>
  <si>
    <t>Lê Thị Ngọc Thảo</t>
  </si>
  <si>
    <t>Phan Toại Tuyn</t>
  </si>
  <si>
    <t>Nguyễn Bá Quang Lâm</t>
  </si>
  <si>
    <t>TV</t>
  </si>
  <si>
    <t>TKKH,TVC</t>
  </si>
  <si>
    <t>Lập trình, hiệu chỉnh các thuật toán liên quan</t>
  </si>
  <si>
    <t>Phân tích cấu trúc của các thuật toán khai thác đồ thị con đại diện</t>
  </si>
  <si>
    <t>Phân tích và kiểm chứng các xuất bản hiện tại liên quan đến FSM trong môi trường phân tán</t>
  </si>
  <si>
    <t>Phân tích, kiểm chứng các công trình hiện có liên quan đến luật kết hợp khai thác từ một đồ thị có kích thước lớn</t>
  </si>
  <si>
    <t>Phân tích và kiểm nghiệm các mô hình gần đây cho khai thác các đồ thị con đại diện</t>
  </si>
  <si>
    <t>Phân tích,  kiểm nghiệm chi tiết các phương pháp / thuật toán khai thác đồ thị con đại diện</t>
  </si>
  <si>
    <t>Đánh giá, kiểm nghiệm hiệu suất của các thuật toán liên quan trên các bộ dữ liệu thực tế từ những lĩnh vực như mạng xã hội và mạng công tác</t>
  </si>
  <si>
    <t>Điều chỉnh các tham số, chạy thử nghiệm để so sánh đánh giá</t>
  </si>
  <si>
    <t>Đánh giá tổng quan các công trình về FSM</t>
  </si>
  <si>
    <t>Phát triển các định lý, tính chất áp dụng để tỉa sớm ứng viên</t>
  </si>
  <si>
    <t>Phân tích, chọn lọc, hiệu chỉnh dữ liệu, tiến hành kiểm nghiệm để so sánh đánh giá kết quả</t>
  </si>
  <si>
    <t>Đề xuất các thuật toán khai thác cho các đồ thị con đại diện như là các đồ thị con đóng và/hoặc các đồ thị con tối đại trong một đơn đồ thị kích thước lớn</t>
  </si>
  <si>
    <t>Phân tích, chọn lọc dữ liệu, tiến hành kiểm nghiệm để so sánh, đánh giá kết quả trên các bộ dữ liệu thực tế</t>
  </si>
  <si>
    <t>Phân tích, chọn lọc, kiểm định các nền tảng xử lý dữ liệu lớn hiện đại</t>
  </si>
  <si>
    <t>Đánh giá các  thuật toán GraMi, ScaleMine, SIGRAM,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</si>
</sst>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9" x14ac:knownFonts="1">
    <font>
      <sz val="11"/>
      <color theme="1"/>
      <name val="Calibri"/>
      <family val="2"/>
      <scheme val="minor"/>
    </font>
    <font>
      <sz val="12"/>
      <color indexed="8"/>
      <name val="Times New Roman"/>
      <family val="1"/>
    </font>
    <font>
      <sz val="11"/>
      <color theme="1"/>
      <name val="Calibri"/>
      <family val="2"/>
      <scheme val="minor"/>
    </font>
    <font>
      <sz val="12"/>
      <color theme="1"/>
      <name val="Times New Roman"/>
      <family val="1"/>
    </font>
    <font>
      <b/>
      <sz val="12"/>
      <color theme="1"/>
      <name val="Times New Roman"/>
      <family val="1"/>
    </font>
    <font>
      <b/>
      <i/>
      <sz val="12"/>
      <color theme="1"/>
      <name val="Times New Roman"/>
      <family val="1"/>
    </font>
    <font>
      <u/>
      <sz val="11"/>
      <color theme="10"/>
      <name val="Calibri"/>
      <family val="2"/>
      <scheme val="minor"/>
    </font>
    <font>
      <u/>
      <sz val="11"/>
      <color theme="11"/>
      <name val="Calibri"/>
      <family val="2"/>
      <scheme val="minor"/>
    </font>
    <font>
      <b/>
      <sz val="11"/>
      <color theme="1"/>
      <name val="Times New Roman"/>
      <family val="1"/>
    </font>
    <font>
      <b/>
      <i/>
      <sz val="11"/>
      <color theme="1"/>
      <name val="Times New Roman"/>
      <family val="1"/>
    </font>
    <font>
      <b/>
      <sz val="12"/>
      <color rgb="FF000000"/>
      <name val="Times New Roman"/>
      <family val="1"/>
    </font>
    <font>
      <b/>
      <i/>
      <sz val="12"/>
      <color rgb="FF000000"/>
      <name val="Times New Roman"/>
      <family val="1"/>
    </font>
    <font>
      <i/>
      <sz val="12"/>
      <color rgb="FF000000"/>
      <name val="Times New Roman"/>
      <family val="1"/>
    </font>
    <font>
      <sz val="12"/>
      <color rgb="FF000000"/>
      <name val="Times New Roman"/>
      <family val="1"/>
    </font>
    <font>
      <i/>
      <sz val="12"/>
      <color theme="1"/>
      <name val="Times New Roman"/>
      <family val="1"/>
    </font>
    <font>
      <b/>
      <sz val="12"/>
      <color indexed="8"/>
      <name val="Times New Roman"/>
      <family val="1"/>
    </font>
    <font>
      <i/>
      <sz val="12"/>
      <color indexed="8"/>
      <name val="Times New Roman"/>
      <family val="1"/>
    </font>
    <font>
      <b/>
      <sz val="12"/>
      <name val="Times New Roman"/>
      <family val="1"/>
    </font>
    <font>
      <b/>
      <i/>
      <sz val="12"/>
      <color rgb="FFFF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0"/>
        <bgColor auto="1"/>
      </patternFill>
    </fill>
    <fill>
      <patternFill patternType="solid">
        <fgColor theme="0"/>
        <bgColor rgb="FF000000"/>
      </patternFill>
    </fill>
    <fill>
      <patternFill patternType="solid">
        <fgColor theme="0"/>
        <bgColor indexed="64"/>
      </patternFill>
    </fill>
  </fills>
  <borders count="12">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style="thin">
        <color indexed="64"/>
      </left>
      <right/>
      <top/>
      <bottom style="thin">
        <color auto="1"/>
      </bottom>
      <diagonal/>
    </border>
    <border>
      <left style="thin">
        <color indexed="8"/>
      </left>
      <right style="thin">
        <color indexed="8"/>
      </right>
      <top style="thin">
        <color indexed="8"/>
      </top>
      <bottom style="thin">
        <color indexed="8"/>
      </bottom>
      <diagonal/>
    </border>
    <border>
      <left style="thin">
        <color indexed="12"/>
      </left>
      <right style="thin">
        <color indexed="8"/>
      </right>
      <top style="thin">
        <color indexed="8"/>
      </top>
      <bottom style="thin">
        <color indexed="8"/>
      </bottom>
      <diagonal/>
    </border>
  </borders>
  <cellStyleXfs count="35">
    <xf numFmtId="0" fontId="0" fillId="0" borderId="0"/>
    <xf numFmtId="43"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9" fontId="2" fillId="0" borderId="0" applyFont="0" applyFill="0" applyBorder="0" applyAlignment="0" applyProtection="0"/>
  </cellStyleXfs>
  <cellXfs count="175">
    <xf numFmtId="0" fontId="0" fillId="0" borderId="0" xfId="0"/>
    <xf numFmtId="3" fontId="3" fillId="0" borderId="0" xfId="0" applyNumberFormat="1" applyFont="1"/>
    <xf numFmtId="0" fontId="4" fillId="0" borderId="0" xfId="0" applyFont="1" applyAlignment="1">
      <alignment horizontal="center" vertical="center"/>
    </xf>
    <xf numFmtId="0" fontId="4" fillId="0" borderId="0" xfId="0" applyFont="1" applyAlignment="1"/>
    <xf numFmtId="0" fontId="1" fillId="0" borderId="0" xfId="0" applyFont="1"/>
    <xf numFmtId="0" fontId="4" fillId="0" borderId="3" xfId="0" applyFont="1" applyBorder="1" applyAlignment="1">
      <alignment horizontal="center" vertical="center" wrapText="1"/>
    </xf>
    <xf numFmtId="0" fontId="4" fillId="0" borderId="0" xfId="0" applyFont="1"/>
    <xf numFmtId="0" fontId="8" fillId="0" borderId="3" xfId="0" applyFont="1" applyFill="1" applyBorder="1" applyAlignment="1">
      <alignment horizontal="center" vertical="center" wrapText="1"/>
    </xf>
    <xf numFmtId="3" fontId="4" fillId="0" borderId="3" xfId="0" applyNumberFormat="1" applyFont="1" applyBorder="1" applyAlignment="1">
      <alignment horizontal="center" vertical="center" wrapText="1"/>
    </xf>
    <xf numFmtId="49" fontId="3" fillId="0" borderId="1" xfId="0" applyNumberFormat="1" applyFont="1" applyBorder="1"/>
    <xf numFmtId="49" fontId="3" fillId="0" borderId="3" xfId="0" applyNumberFormat="1" applyFont="1" applyBorder="1"/>
    <xf numFmtId="49" fontId="4" fillId="0" borderId="3" xfId="0" applyNumberFormat="1" applyFont="1" applyBorder="1" applyAlignment="1">
      <alignment horizontal="center" vertical="top"/>
    </xf>
    <xf numFmtId="49" fontId="3" fillId="0" borderId="3" xfId="0" applyNumberFormat="1" applyFont="1" applyBorder="1" applyAlignment="1">
      <alignment vertical="top"/>
    </xf>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right" vertical="center"/>
    </xf>
    <xf numFmtId="10" fontId="3" fillId="0" borderId="0" xfId="34" applyNumberFormat="1" applyFont="1" applyAlignment="1">
      <alignment vertical="center"/>
    </xf>
    <xf numFmtId="49" fontId="1" fillId="3" borderId="10" xfId="0" applyNumberFormat="1" applyFont="1" applyFill="1" applyBorder="1" applyAlignment="1">
      <alignment horizontal="center" vertical="center" wrapText="1"/>
    </xf>
    <xf numFmtId="0" fontId="10" fillId="4" borderId="3" xfId="0" applyFont="1" applyFill="1" applyBorder="1" applyAlignment="1">
      <alignment horizontal="left" vertical="center" wrapText="1"/>
    </xf>
    <xf numFmtId="49" fontId="1" fillId="3" borderId="11" xfId="0" applyNumberFormat="1" applyFont="1" applyFill="1" applyBorder="1" applyAlignment="1">
      <alignment horizontal="center" vertical="center"/>
    </xf>
    <xf numFmtId="0" fontId="11" fillId="4" borderId="3" xfId="0" applyFont="1" applyFill="1" applyBorder="1" applyAlignment="1">
      <alignment horizontal="left" vertical="center" wrapText="1"/>
    </xf>
    <xf numFmtId="0" fontId="13" fillId="5" borderId="3" xfId="0" applyFont="1" applyFill="1" applyBorder="1" applyAlignment="1">
      <alignment vertical="center" wrapText="1"/>
    </xf>
    <xf numFmtId="0" fontId="9" fillId="0" borderId="3" xfId="0" applyFont="1" applyFill="1" applyBorder="1" applyAlignment="1">
      <alignment horizontal="center" vertical="center"/>
    </xf>
    <xf numFmtId="0" fontId="3" fillId="0" borderId="0" xfId="0" applyFont="1"/>
    <xf numFmtId="49" fontId="3" fillId="0" borderId="0" xfId="0" applyNumberFormat="1" applyFont="1" applyAlignment="1">
      <alignment horizontal="center" vertical="center"/>
    </xf>
    <xf numFmtId="0" fontId="3" fillId="0" borderId="0" xfId="0" applyFont="1" applyAlignment="1">
      <alignment horizontal="center" vertical="center"/>
    </xf>
    <xf numFmtId="164" fontId="11" fillId="2" borderId="3" xfId="1" applyNumberFormat="1" applyFont="1" applyFill="1" applyBorder="1" applyAlignment="1">
      <alignment horizontal="center" vertical="center" wrapText="1"/>
    </xf>
    <xf numFmtId="0" fontId="5" fillId="0" borderId="3" xfId="0" applyFont="1" applyBorder="1" applyAlignment="1">
      <alignment horizontal="center" vertical="center" wrapText="1"/>
    </xf>
    <xf numFmtId="49" fontId="4" fillId="0" borderId="3" xfId="0" applyNumberFormat="1" applyFont="1" applyFill="1" applyBorder="1" applyAlignment="1">
      <alignment horizontal="center" vertical="center" wrapText="1"/>
    </xf>
    <xf numFmtId="0" fontId="4" fillId="0" borderId="5" xfId="0" applyFont="1" applyFill="1" applyBorder="1" applyAlignment="1">
      <alignment horizontal="left" vertical="center" wrapText="1"/>
    </xf>
    <xf numFmtId="0" fontId="5" fillId="0" borderId="3" xfId="0" applyFont="1" applyFill="1" applyBorder="1" applyAlignment="1">
      <alignment horizontal="center" vertical="center"/>
    </xf>
    <xf numFmtId="164" fontId="5" fillId="0" borderId="3" xfId="1" applyNumberFormat="1" applyFont="1" applyFill="1" applyBorder="1" applyAlignment="1">
      <alignment horizontal="right" vertical="center" wrapText="1"/>
    </xf>
    <xf numFmtId="3" fontId="4" fillId="0" borderId="4" xfId="1" applyNumberFormat="1" applyFont="1" applyFill="1" applyBorder="1" applyAlignment="1">
      <alignment horizontal="right" vertical="center" wrapText="1"/>
    </xf>
    <xf numFmtId="0" fontId="3" fillId="0" borderId="3" xfId="0" applyFont="1" applyBorder="1" applyAlignment="1">
      <alignment wrapText="1"/>
    </xf>
    <xf numFmtId="0" fontId="4" fillId="0" borderId="3" xfId="0" applyFont="1" applyBorder="1" applyAlignment="1">
      <alignment vertical="center" wrapText="1"/>
    </xf>
    <xf numFmtId="49" fontId="5" fillId="0" borderId="3" xfId="0" applyNumberFormat="1" applyFont="1" applyFill="1" applyBorder="1" applyAlignment="1">
      <alignment horizontal="center" vertical="center" wrapText="1"/>
    </xf>
    <xf numFmtId="0" fontId="5" fillId="0" borderId="5" xfId="0" applyFont="1" applyFill="1" applyBorder="1" applyAlignment="1">
      <alignment vertical="center" wrapText="1"/>
    </xf>
    <xf numFmtId="0" fontId="13" fillId="0" borderId="3" xfId="0" applyFont="1" applyFill="1" applyBorder="1" applyAlignment="1">
      <alignment horizontal="center" vertical="center" wrapText="1"/>
    </xf>
    <xf numFmtId="2" fontId="3" fillId="0" borderId="3" xfId="1" applyNumberFormat="1" applyFont="1" applyFill="1" applyBorder="1" applyAlignment="1">
      <alignment horizontal="right" vertical="center" wrapText="1"/>
    </xf>
    <xf numFmtId="49" fontId="3" fillId="0" borderId="3" xfId="0" applyNumberFormat="1" applyFont="1" applyFill="1" applyBorder="1" applyAlignment="1">
      <alignment horizontal="center" vertical="center" wrapText="1"/>
    </xf>
    <xf numFmtId="0" fontId="13" fillId="0" borderId="5" xfId="0" applyFont="1" applyFill="1" applyBorder="1" applyAlignment="1">
      <alignment horizontal="left" vertical="center" wrapText="1"/>
    </xf>
    <xf numFmtId="164" fontId="3" fillId="0" borderId="3" xfId="1" applyNumberFormat="1" applyFont="1" applyFill="1" applyBorder="1" applyAlignment="1">
      <alignment horizontal="right" vertical="center" wrapText="1"/>
    </xf>
    <xf numFmtId="3" fontId="3" fillId="0" borderId="4" xfId="1" applyNumberFormat="1" applyFont="1" applyFill="1" applyBorder="1" applyAlignment="1">
      <alignment horizontal="right" vertical="center" wrapText="1"/>
    </xf>
    <xf numFmtId="164" fontId="3" fillId="0" borderId="0" xfId="0" applyNumberFormat="1" applyFont="1"/>
    <xf numFmtId="4" fontId="3" fillId="0" borderId="0" xfId="0" applyNumberFormat="1" applyFont="1"/>
    <xf numFmtId="3" fontId="5" fillId="0" borderId="4" xfId="1" applyNumberFormat="1" applyFont="1" applyFill="1" applyBorder="1" applyAlignment="1">
      <alignment horizontal="right" vertical="center" wrapText="1"/>
    </xf>
    <xf numFmtId="49" fontId="14" fillId="0" borderId="3" xfId="0" applyNumberFormat="1" applyFont="1" applyFill="1" applyBorder="1" applyAlignment="1">
      <alignment horizontal="center" vertical="center" wrapText="1"/>
    </xf>
    <xf numFmtId="0" fontId="12" fillId="2" borderId="5" xfId="0" applyFont="1" applyFill="1" applyBorder="1" applyAlignment="1">
      <alignment vertical="center" wrapText="1"/>
    </xf>
    <xf numFmtId="0" fontId="12" fillId="0" borderId="3" xfId="0" applyFont="1" applyFill="1" applyBorder="1" applyAlignment="1">
      <alignment horizontal="center" vertical="center" wrapText="1"/>
    </xf>
    <xf numFmtId="164" fontId="14" fillId="0" borderId="3" xfId="1" applyNumberFormat="1" applyFont="1" applyFill="1" applyBorder="1" applyAlignment="1">
      <alignment vertical="center" wrapText="1"/>
    </xf>
    <xf numFmtId="2" fontId="14" fillId="0" borderId="3" xfId="1" applyNumberFormat="1" applyFont="1" applyFill="1" applyBorder="1" applyAlignment="1">
      <alignment vertical="center" wrapText="1"/>
    </xf>
    <xf numFmtId="3" fontId="14" fillId="0" borderId="4" xfId="1" applyNumberFormat="1" applyFont="1" applyFill="1" applyBorder="1" applyAlignment="1">
      <alignment vertical="center" wrapText="1"/>
    </xf>
    <xf numFmtId="0" fontId="14" fillId="0" borderId="3" xfId="0" applyFont="1" applyBorder="1" applyAlignment="1">
      <alignment wrapText="1"/>
    </xf>
    <xf numFmtId="3" fontId="14" fillId="0" borderId="4" xfId="1" applyNumberFormat="1" applyFont="1" applyFill="1" applyBorder="1" applyAlignment="1">
      <alignment horizontal="right" vertical="center" wrapText="1"/>
    </xf>
    <xf numFmtId="0" fontId="14" fillId="0" borderId="3" xfId="0" applyFont="1" applyBorder="1" applyAlignment="1">
      <alignment vertical="center" wrapText="1"/>
    </xf>
    <xf numFmtId="0" fontId="14" fillId="0" borderId="0" xfId="0" applyFont="1"/>
    <xf numFmtId="43" fontId="14" fillId="0" borderId="0" xfId="0" applyNumberFormat="1" applyFont="1"/>
    <xf numFmtId="37" fontId="3" fillId="0" borderId="3" xfId="1" applyNumberFormat="1" applyFont="1" applyFill="1" applyBorder="1" applyAlignment="1">
      <alignment horizontal="right" vertical="center" wrapText="1"/>
    </xf>
    <xf numFmtId="2" fontId="5" fillId="0" borderId="3" xfId="1" applyNumberFormat="1" applyFont="1" applyFill="1" applyBorder="1" applyAlignment="1">
      <alignment horizontal="right" vertical="center" wrapText="1"/>
    </xf>
    <xf numFmtId="0" fontId="13" fillId="2" borderId="5" xfId="0" applyFont="1" applyFill="1" applyBorder="1" applyAlignment="1">
      <alignment horizontal="left" vertical="center" wrapText="1"/>
    </xf>
    <xf numFmtId="49" fontId="3" fillId="0" borderId="2" xfId="0" applyNumberFormat="1" applyFont="1" applyFill="1" applyBorder="1" applyAlignment="1">
      <alignment horizontal="center" vertical="center" wrapText="1"/>
    </xf>
    <xf numFmtId="0" fontId="13" fillId="2" borderId="8" xfId="0" applyFont="1" applyFill="1" applyBorder="1" applyAlignment="1">
      <alignment horizontal="left" vertical="center" wrapText="1"/>
    </xf>
    <xf numFmtId="0" fontId="13" fillId="0" borderId="2" xfId="0" applyFont="1" applyFill="1" applyBorder="1" applyAlignment="1">
      <alignment horizontal="center" vertical="center" wrapText="1"/>
    </xf>
    <xf numFmtId="2" fontId="3" fillId="0" borderId="2" xfId="1" applyNumberFormat="1" applyFont="1" applyFill="1" applyBorder="1" applyAlignment="1">
      <alignment horizontal="right" vertical="center" wrapText="1"/>
    </xf>
    <xf numFmtId="0" fontId="3" fillId="0" borderId="3" xfId="0" applyFont="1" applyBorder="1" applyAlignment="1">
      <alignment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2" fontId="3" fillId="0" borderId="1" xfId="1" applyNumberFormat="1" applyFont="1" applyFill="1" applyBorder="1" applyAlignment="1">
      <alignment horizontal="right" vertical="center" wrapText="1"/>
    </xf>
    <xf numFmtId="3" fontId="3" fillId="0" borderId="9" xfId="1" applyNumberFormat="1" applyFont="1" applyFill="1" applyBorder="1" applyAlignment="1">
      <alignment horizontal="right" vertical="center" wrapText="1"/>
    </xf>
    <xf numFmtId="0" fontId="13" fillId="0" borderId="3"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3" fillId="0" borderId="3" xfId="0" applyFont="1" applyFill="1" applyBorder="1" applyAlignment="1">
      <alignment horizontal="center" vertical="center"/>
    </xf>
    <xf numFmtId="43" fontId="3" fillId="0" borderId="3" xfId="1" applyNumberFormat="1" applyFont="1" applyFill="1" applyBorder="1" applyAlignment="1">
      <alignment horizontal="right" vertical="center" wrapText="1"/>
    </xf>
    <xf numFmtId="3" fontId="4" fillId="0" borderId="4" xfId="0" applyNumberFormat="1" applyFont="1" applyFill="1" applyBorder="1" applyAlignment="1">
      <alignment vertical="center" wrapText="1"/>
    </xf>
    <xf numFmtId="3" fontId="4" fillId="0" borderId="3" xfId="0" applyNumberFormat="1" applyFont="1" applyFill="1" applyBorder="1" applyAlignment="1">
      <alignment vertical="center" wrapText="1"/>
    </xf>
    <xf numFmtId="0" fontId="15" fillId="0" borderId="5" xfId="0" applyFont="1" applyBorder="1" applyAlignment="1">
      <alignment vertical="center"/>
    </xf>
    <xf numFmtId="0" fontId="3" fillId="0" borderId="3" xfId="0" applyFont="1" applyBorder="1" applyAlignment="1">
      <alignment horizontal="center" vertical="center" wrapText="1"/>
    </xf>
    <xf numFmtId="0" fontId="14" fillId="0" borderId="3" xfId="0" applyFont="1" applyBorder="1" applyAlignment="1">
      <alignment horizontal="right" vertical="center" wrapText="1"/>
    </xf>
    <xf numFmtId="2" fontId="14" fillId="0" borderId="3" xfId="0" applyNumberFormat="1" applyFont="1" applyBorder="1" applyAlignment="1">
      <alignment horizontal="right" vertical="center" wrapText="1"/>
    </xf>
    <xf numFmtId="3" fontId="4" fillId="0" borderId="3" xfId="1" applyNumberFormat="1" applyFont="1" applyBorder="1" applyAlignment="1">
      <alignment horizontal="right" vertical="center" wrapText="1"/>
    </xf>
    <xf numFmtId="3" fontId="3" fillId="0" borderId="3" xfId="0" applyNumberFormat="1" applyFont="1" applyBorder="1" applyAlignment="1">
      <alignment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right" vertical="center" wrapText="1"/>
    </xf>
    <xf numFmtId="2" fontId="4" fillId="0" borderId="3" xfId="0" applyNumberFormat="1" applyFont="1" applyFill="1" applyBorder="1" applyAlignment="1">
      <alignment horizontal="right" vertical="center" wrapText="1"/>
    </xf>
    <xf numFmtId="3" fontId="4" fillId="0" borderId="3" xfId="1" applyNumberFormat="1" applyFont="1" applyFill="1" applyBorder="1" applyAlignment="1">
      <alignment horizontal="right" vertical="center" wrapText="1"/>
    </xf>
    <xf numFmtId="0" fontId="3" fillId="0" borderId="3" xfId="0" applyFont="1" applyFill="1" applyBorder="1" applyAlignment="1">
      <alignment horizontal="center" vertical="center" wrapText="1"/>
    </xf>
    <xf numFmtId="0" fontId="14" fillId="0" borderId="3" xfId="0" applyFont="1" applyFill="1" applyBorder="1" applyAlignment="1">
      <alignment horizontal="right" vertical="center" wrapText="1"/>
    </xf>
    <xf numFmtId="2" fontId="14" fillId="0" borderId="3" xfId="0" applyNumberFormat="1" applyFont="1" applyFill="1" applyBorder="1" applyAlignment="1">
      <alignment horizontal="right" vertical="center" wrapText="1"/>
    </xf>
    <xf numFmtId="0" fontId="4" fillId="0" borderId="5" xfId="0" applyFont="1" applyBorder="1" applyAlignment="1">
      <alignment vertical="center"/>
    </xf>
    <xf numFmtId="0" fontId="4" fillId="0" borderId="5" xfId="0" applyFont="1" applyFill="1" applyBorder="1" applyAlignment="1">
      <alignment vertical="center"/>
    </xf>
    <xf numFmtId="164" fontId="3" fillId="0" borderId="3" xfId="1" applyNumberFormat="1" applyFont="1" applyFill="1" applyBorder="1" applyAlignment="1">
      <alignment horizontal="right" vertical="center"/>
    </xf>
    <xf numFmtId="164" fontId="14" fillId="0" borderId="3" xfId="1" applyNumberFormat="1" applyFont="1" applyFill="1" applyBorder="1" applyAlignment="1">
      <alignment horizontal="right" vertical="center" wrapText="1"/>
    </xf>
    <xf numFmtId="3" fontId="5" fillId="0" borderId="3" xfId="1" applyNumberFormat="1" applyFont="1" applyFill="1" applyBorder="1" applyAlignment="1">
      <alignment horizontal="right" vertical="center" wrapText="1"/>
    </xf>
    <xf numFmtId="3" fontId="4" fillId="0" borderId="4" xfId="1" applyNumberFormat="1" applyFont="1" applyFill="1" applyBorder="1" applyAlignment="1">
      <alignment horizontal="right" vertical="center"/>
    </xf>
    <xf numFmtId="3" fontId="3" fillId="0" borderId="4" xfId="1" applyNumberFormat="1" applyFont="1" applyFill="1" applyBorder="1" applyAlignment="1">
      <alignment horizontal="right" vertical="center"/>
    </xf>
    <xf numFmtId="3" fontId="14" fillId="0" borderId="3" xfId="1" applyNumberFormat="1" applyFont="1" applyFill="1" applyBorder="1" applyAlignment="1">
      <alignment horizontal="right" vertical="center"/>
    </xf>
    <xf numFmtId="49" fontId="10" fillId="0" borderId="3" xfId="0" applyNumberFormat="1" applyFont="1" applyFill="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vertical="center"/>
    </xf>
    <xf numFmtId="164" fontId="12" fillId="0" borderId="3" xfId="1" applyNumberFormat="1" applyFont="1" applyFill="1" applyBorder="1" applyAlignment="1">
      <alignment horizontal="right" vertical="center" wrapText="1"/>
    </xf>
    <xf numFmtId="164" fontId="14" fillId="0" borderId="3" xfId="1" applyNumberFormat="1" applyFont="1" applyFill="1" applyBorder="1" applyAlignment="1">
      <alignment horizontal="right" vertical="center"/>
    </xf>
    <xf numFmtId="0" fontId="10" fillId="0" borderId="5" xfId="0" applyFont="1" applyFill="1" applyBorder="1" applyAlignment="1">
      <alignment horizontal="left" vertical="center" wrapText="1"/>
    </xf>
    <xf numFmtId="0" fontId="4" fillId="0" borderId="5" xfId="0" applyFont="1" applyFill="1" applyBorder="1" applyAlignment="1">
      <alignment horizontal="center" vertical="center"/>
    </xf>
    <xf numFmtId="3" fontId="4" fillId="0" borderId="4" xfId="1" applyNumberFormat="1" applyFont="1" applyFill="1" applyBorder="1" applyAlignment="1">
      <alignment vertical="center"/>
    </xf>
    <xf numFmtId="0" fontId="3" fillId="0" borderId="3" xfId="0" applyFont="1" applyBorder="1"/>
    <xf numFmtId="0" fontId="4" fillId="0" borderId="3" xfId="0" applyFont="1" applyFill="1" applyBorder="1" applyAlignment="1">
      <alignment vertical="center"/>
    </xf>
    <xf numFmtId="0" fontId="3" fillId="0" borderId="3" xfId="0" applyFont="1" applyBorder="1" applyAlignment="1">
      <alignment horizontal="center" vertical="top"/>
    </xf>
    <xf numFmtId="0" fontId="3" fillId="0" borderId="3" xfId="0" applyFont="1" applyBorder="1" applyAlignment="1">
      <alignment vertical="top"/>
    </xf>
    <xf numFmtId="164" fontId="4" fillId="0" borderId="4" xfId="1" applyNumberFormat="1" applyFont="1" applyBorder="1" applyAlignment="1">
      <alignment vertical="top" wrapText="1"/>
    </xf>
    <xf numFmtId="164" fontId="3" fillId="0" borderId="0" xfId="1" applyNumberFormat="1" applyFont="1" applyAlignment="1">
      <alignment vertical="center"/>
    </xf>
    <xf numFmtId="0" fontId="3" fillId="0" borderId="0" xfId="0" applyFont="1" applyBorder="1" applyAlignment="1">
      <alignment vertical="center"/>
    </xf>
    <xf numFmtId="0" fontId="14"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horizontal="center" vertical="center" wrapText="1"/>
    </xf>
    <xf numFmtId="49" fontId="3" fillId="0" borderId="0" xfId="0" applyNumberFormat="1" applyFont="1"/>
    <xf numFmtId="0" fontId="11" fillId="0" borderId="3" xfId="0" applyFont="1" applyFill="1" applyBorder="1" applyAlignment="1">
      <alignment horizontal="center" vertical="center" wrapText="1"/>
    </xf>
    <xf numFmtId="0" fontId="5" fillId="0" borderId="3" xfId="0" applyFont="1" applyBorder="1" applyAlignment="1">
      <alignment wrapText="1"/>
    </xf>
    <xf numFmtId="0" fontId="5" fillId="0" borderId="3" xfId="0" applyFont="1" applyBorder="1" applyAlignment="1">
      <alignment vertical="center" wrapText="1"/>
    </xf>
    <xf numFmtId="0" fontId="5" fillId="0" borderId="0" xfId="0" applyFont="1"/>
    <xf numFmtId="164" fontId="9" fillId="0" borderId="3" xfId="1" applyNumberFormat="1" applyFont="1" applyFill="1" applyBorder="1" applyAlignment="1">
      <alignment horizontal="right" vertical="center"/>
    </xf>
    <xf numFmtId="0" fontId="8" fillId="0" borderId="3" xfId="0" applyFont="1" applyFill="1" applyBorder="1" applyAlignment="1">
      <alignment vertical="center" wrapText="1"/>
    </xf>
    <xf numFmtId="3" fontId="5" fillId="0" borderId="3" xfId="0" applyNumberFormat="1" applyFont="1" applyBorder="1" applyAlignment="1">
      <alignment horizontal="center" vertical="center" wrapText="1"/>
    </xf>
    <xf numFmtId="0" fontId="5" fillId="0" borderId="3" xfId="0" applyFont="1" applyBorder="1" applyAlignment="1">
      <alignment horizontal="left" vertical="center"/>
    </xf>
    <xf numFmtId="0" fontId="5" fillId="0" borderId="3" xfId="0" applyFont="1" applyBorder="1" applyAlignment="1">
      <alignment horizontal="center" vertical="center"/>
    </xf>
    <xf numFmtId="0" fontId="5" fillId="0" borderId="3" xfId="0" applyFont="1" applyBorder="1" applyAlignment="1">
      <alignment vertical="center"/>
    </xf>
    <xf numFmtId="3" fontId="5" fillId="0" borderId="3" xfId="0" applyNumberFormat="1" applyFont="1" applyBorder="1" applyAlignment="1">
      <alignment vertical="center"/>
    </xf>
    <xf numFmtId="3" fontId="3" fillId="0" borderId="3" xfId="0" applyNumberFormat="1" applyFont="1" applyBorder="1" applyAlignment="1">
      <alignment horizontal="center" vertical="center"/>
    </xf>
    <xf numFmtId="2" fontId="3" fillId="0" borderId="3" xfId="1" applyNumberFormat="1" applyFont="1" applyFill="1" applyBorder="1" applyAlignment="1">
      <alignment horizontal="center" vertical="center"/>
    </xf>
    <xf numFmtId="0" fontId="4" fillId="0" borderId="3" xfId="0" applyFont="1" applyBorder="1" applyAlignment="1">
      <alignment horizontal="center" vertical="center"/>
    </xf>
    <xf numFmtId="0" fontId="15" fillId="0" borderId="3" xfId="0" applyFont="1" applyBorder="1" applyAlignment="1">
      <alignment vertical="center" wrapText="1"/>
    </xf>
    <xf numFmtId="0" fontId="4" fillId="0" borderId="3" xfId="0" applyFont="1" applyBorder="1" applyAlignment="1">
      <alignment horizontal="center"/>
    </xf>
    <xf numFmtId="3" fontId="4" fillId="0" borderId="3" xfId="0" applyNumberFormat="1" applyFont="1" applyBorder="1" applyAlignment="1">
      <alignment horizontal="center"/>
    </xf>
    <xf numFmtId="3" fontId="4" fillId="0" borderId="3" xfId="0" applyNumberFormat="1" applyFont="1" applyBorder="1" applyAlignment="1">
      <alignment vertical="center"/>
    </xf>
    <xf numFmtId="0" fontId="4" fillId="0" borderId="3" xfId="0" applyFont="1" applyBorder="1" applyAlignment="1">
      <alignment horizontal="right"/>
    </xf>
    <xf numFmtId="0" fontId="4" fillId="0" borderId="3" xfId="0" applyFont="1" applyBorder="1"/>
    <xf numFmtId="3" fontId="4" fillId="0" borderId="3" xfId="0" applyNumberFormat="1" applyFont="1" applyBorder="1"/>
    <xf numFmtId="0" fontId="1" fillId="0" borderId="0" xfId="0" applyFont="1" applyAlignment="1">
      <alignment vertical="center"/>
    </xf>
    <xf numFmtId="0" fontId="17" fillId="0" borderId="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164" fontId="1" fillId="0" borderId="3" xfId="1" applyNumberFormat="1" applyFont="1" applyBorder="1" applyAlignment="1">
      <alignment horizontal="center" vertical="center" wrapText="1"/>
    </xf>
    <xf numFmtId="3" fontId="1" fillId="0" borderId="3" xfId="1" applyNumberFormat="1" applyFont="1" applyBorder="1" applyAlignment="1">
      <alignment horizontal="right" vertical="center" wrapText="1"/>
    </xf>
    <xf numFmtId="0" fontId="15" fillId="0" borderId="3" xfId="0" applyFont="1" applyBorder="1" applyAlignment="1">
      <alignment horizontal="center" vertical="center" wrapText="1"/>
    </xf>
    <xf numFmtId="164" fontId="15" fillId="0" borderId="3" xfId="1" applyNumberFormat="1" applyFont="1" applyBorder="1" applyAlignment="1">
      <alignment horizontal="center" vertical="center" wrapText="1"/>
    </xf>
    <xf numFmtId="0" fontId="3" fillId="0" borderId="3" xfId="0" applyFont="1" applyBorder="1" applyAlignment="1">
      <alignment horizontal="left" vertical="center" wrapText="1"/>
    </xf>
    <xf numFmtId="164" fontId="3" fillId="0" borderId="3" xfId="1"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3" fillId="0" borderId="0" xfId="0" applyFont="1" applyAlignment="1">
      <alignment vertical="center" wrapText="1"/>
    </xf>
    <xf numFmtId="164" fontId="3" fillId="0" borderId="0" xfId="0" applyNumberFormat="1" applyFont="1" applyAlignment="1">
      <alignment vertical="center"/>
    </xf>
    <xf numFmtId="3" fontId="3" fillId="0" borderId="0" xfId="0" applyNumberFormat="1" applyFont="1" applyAlignment="1">
      <alignment vertical="center"/>
    </xf>
    <xf numFmtId="0" fontId="18" fillId="0" borderId="3" xfId="0" applyFont="1" applyBorder="1" applyAlignment="1">
      <alignment vertical="center" wrapText="1"/>
    </xf>
    <xf numFmtId="164" fontId="5" fillId="0" borderId="0" xfId="0" applyNumberFormat="1" applyFont="1"/>
    <xf numFmtId="3" fontId="5" fillId="0" borderId="0" xfId="0" applyNumberFormat="1" applyFont="1"/>
    <xf numFmtId="0" fontId="15" fillId="0" borderId="0" xfId="0" applyFont="1" applyAlignment="1">
      <alignment horizontal="left" vertical="center"/>
    </xf>
    <xf numFmtId="0" fontId="17"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xf numFmtId="0" fontId="16" fillId="0" borderId="7" xfId="0" applyFont="1" applyBorder="1" applyAlignment="1">
      <alignment horizontal="right" vertical="center"/>
    </xf>
    <xf numFmtId="0" fontId="4" fillId="0" borderId="0" xfId="0" applyFont="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0" fontId="4" fillId="0" borderId="0" xfId="0" applyFont="1" applyAlignment="1">
      <alignment horizontal="center" vertical="center" wrapText="1"/>
    </xf>
    <xf numFmtId="0" fontId="14" fillId="0" borderId="0" xfId="0" applyFont="1" applyAlignment="1">
      <alignment horizontal="center" vertical="center" wrapText="1"/>
    </xf>
    <xf numFmtId="0" fontId="4" fillId="0" borderId="0" xfId="0" applyFont="1" applyBorder="1" applyAlignment="1">
      <alignment horizontal="center" vertical="center"/>
    </xf>
    <xf numFmtId="0" fontId="3" fillId="0" borderId="0" xfId="0" applyFont="1" applyBorder="1" applyAlignment="1">
      <alignment horizontal="center" vertical="center"/>
    </xf>
    <xf numFmtId="164" fontId="10" fillId="2" borderId="3" xfId="1"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49" fontId="10" fillId="2" borderId="3" xfId="0" applyNumberFormat="1" applyFont="1" applyFill="1" applyBorder="1" applyAlignment="1">
      <alignment horizontal="center" vertical="center" wrapText="1"/>
    </xf>
    <xf numFmtId="0" fontId="10" fillId="2" borderId="3" xfId="0" applyFont="1" applyFill="1" applyBorder="1" applyAlignment="1">
      <alignment horizontal="center" vertical="center" wrapText="1"/>
    </xf>
    <xf numFmtId="164" fontId="10" fillId="2" borderId="4" xfId="1" applyNumberFormat="1"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164" fontId="5" fillId="0" borderId="7" xfId="1" applyNumberFormat="1" applyFont="1" applyBorder="1" applyAlignment="1">
      <alignment horizontal="right" vertical="center"/>
    </xf>
  </cellXfs>
  <cellStyles count="35">
    <cellStyle name="Comma" xfId="1"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ormal" xfId="0" builtinId="0"/>
    <cellStyle name="Percent" xfId="34" builtinId="5"/>
  </cellStyles>
  <dxfs count="723">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patternType="solid">
          <fgColor indexed="16"/>
          <bgColor indexed="21"/>
        </patternFill>
      </fill>
    </dxf>
    <dxf>
      <font>
        <color rgb="FF9C6500"/>
      </font>
      <fill>
        <patternFill patternType="solid">
          <fgColor indexed="16"/>
          <bgColor indexed="19"/>
        </patternFill>
      </fill>
    </dxf>
    <dxf>
      <font>
        <color rgb="FF006100"/>
      </font>
      <fill>
        <patternFill patternType="solid">
          <fgColor indexed="16"/>
          <bgColor indexed="17"/>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heetViews>
  <sheetFormatPr defaultColWidth="8.85546875" defaultRowHeight="15" x14ac:dyDescent="0.25"/>
  <sheetData>
    <row r="1" spans="1:5" x14ac:dyDescent="0.25">
      <c r="A1" t="s">
        <v>10</v>
      </c>
      <c r="B1" t="s">
        <v>11</v>
      </c>
      <c r="C1" t="s">
        <v>12</v>
      </c>
      <c r="D1" t="s">
        <v>13</v>
      </c>
      <c r="E1" t="s">
        <v>14</v>
      </c>
    </row>
    <row r="2" spans="1:5" x14ac:dyDescent="0.25">
      <c r="A2">
        <f>COUNT(#REF!)</f>
        <v>0</v>
      </c>
      <c r="B2">
        <v>7</v>
      </c>
      <c r="C2">
        <v>5</v>
      </c>
      <c r="D2">
        <v>0</v>
      </c>
      <c r="E2" t="s">
        <v>15</v>
      </c>
    </row>
  </sheetData>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37"/>
  <sheetViews>
    <sheetView zoomScaleNormal="100" zoomScalePageLayoutView="112" workbookViewId="0">
      <selection activeCell="E25" sqref="E25"/>
    </sheetView>
  </sheetViews>
  <sheetFormatPr defaultColWidth="8.85546875" defaultRowHeight="15.75" x14ac:dyDescent="0.25"/>
  <cols>
    <col min="1" max="1" width="5.42578125" style="14" bestFit="1" customWidth="1"/>
    <col min="2" max="2" width="25.42578125" style="14" customWidth="1"/>
    <col min="3" max="3" width="13.7109375" style="14" bestFit="1" customWidth="1"/>
    <col min="4" max="4" width="13.7109375" style="14" customWidth="1"/>
    <col min="5" max="5" width="14.42578125" style="14" customWidth="1"/>
    <col min="6" max="6" width="13.42578125" style="14" customWidth="1"/>
    <col min="7" max="7" width="8.85546875" style="14"/>
    <col min="8" max="8" width="18.7109375" style="14" customWidth="1"/>
    <col min="9" max="9" width="8.85546875" style="14"/>
    <col min="10" max="10" width="9.42578125" style="14" bestFit="1" customWidth="1"/>
    <col min="11" max="11" width="9" style="14" bestFit="1" customWidth="1"/>
    <col min="12" max="248" width="8.85546875" style="14"/>
    <col min="249" max="249" width="6.42578125" style="14" customWidth="1"/>
    <col min="250" max="250" width="35.85546875" style="14" customWidth="1"/>
    <col min="251" max="251" width="16.42578125" style="14" customWidth="1"/>
    <col min="252" max="252" width="5.42578125" style="14" customWidth="1"/>
    <col min="253" max="253" width="9.42578125" style="14" customWidth="1"/>
    <col min="254" max="254" width="7.42578125" style="14" customWidth="1"/>
    <col min="255" max="255" width="6.42578125" style="14" customWidth="1"/>
    <col min="256" max="256" width="10.85546875" style="14" customWidth="1"/>
    <col min="257" max="257" width="5.42578125" style="14" bestFit="1" customWidth="1"/>
    <col min="258" max="258" width="22.42578125" style="14" bestFit="1" customWidth="1"/>
    <col min="259" max="259" width="12" style="14" bestFit="1" customWidth="1"/>
    <col min="260" max="260" width="10.42578125" style="14" customWidth="1"/>
    <col min="261" max="261" width="17.42578125" style="14" bestFit="1" customWidth="1"/>
    <col min="262" max="262" width="11.42578125" style="14" bestFit="1" customWidth="1"/>
    <col min="263" max="504" width="8.85546875" style="14"/>
    <col min="505" max="505" width="6.42578125" style="14" customWidth="1"/>
    <col min="506" max="506" width="35.85546875" style="14" customWidth="1"/>
    <col min="507" max="507" width="16.42578125" style="14" customWidth="1"/>
    <col min="508" max="508" width="5.42578125" style="14" customWidth="1"/>
    <col min="509" max="509" width="9.42578125" style="14" customWidth="1"/>
    <col min="510" max="510" width="7.42578125" style="14" customWidth="1"/>
    <col min="511" max="511" width="6.42578125" style="14" customWidth="1"/>
    <col min="512" max="512" width="10.85546875" style="14" customWidth="1"/>
    <col min="513" max="513" width="5.42578125" style="14" bestFit="1" customWidth="1"/>
    <col min="514" max="514" width="22.42578125" style="14" bestFit="1" customWidth="1"/>
    <col min="515" max="515" width="12" style="14" bestFit="1" customWidth="1"/>
    <col min="516" max="516" width="10.42578125" style="14" customWidth="1"/>
    <col min="517" max="517" width="17.42578125" style="14" bestFit="1" customWidth="1"/>
    <col min="518" max="518" width="11.42578125" style="14" bestFit="1" customWidth="1"/>
    <col min="519" max="760" width="8.85546875" style="14"/>
    <col min="761" max="761" width="6.42578125" style="14" customWidth="1"/>
    <col min="762" max="762" width="35.85546875" style="14" customWidth="1"/>
    <col min="763" max="763" width="16.42578125" style="14" customWidth="1"/>
    <col min="764" max="764" width="5.42578125" style="14" customWidth="1"/>
    <col min="765" max="765" width="9.42578125" style="14" customWidth="1"/>
    <col min="766" max="766" width="7.42578125" style="14" customWidth="1"/>
    <col min="767" max="767" width="6.42578125" style="14" customWidth="1"/>
    <col min="768" max="768" width="10.85546875" style="14" customWidth="1"/>
    <col min="769" max="769" width="5.42578125" style="14" bestFit="1" customWidth="1"/>
    <col min="770" max="770" width="22.42578125" style="14" bestFit="1" customWidth="1"/>
    <col min="771" max="771" width="12" style="14" bestFit="1" customWidth="1"/>
    <col min="772" max="772" width="10.42578125" style="14" customWidth="1"/>
    <col min="773" max="773" width="17.42578125" style="14" bestFit="1" customWidth="1"/>
    <col min="774" max="774" width="11.42578125" style="14" bestFit="1" customWidth="1"/>
    <col min="775" max="1016" width="8.85546875" style="14"/>
    <col min="1017" max="1017" width="6.42578125" style="14" customWidth="1"/>
    <col min="1018" max="1018" width="35.85546875" style="14" customWidth="1"/>
    <col min="1019" max="1019" width="16.42578125" style="14" customWidth="1"/>
    <col min="1020" max="1020" width="5.42578125" style="14" customWidth="1"/>
    <col min="1021" max="1021" width="9.42578125" style="14" customWidth="1"/>
    <col min="1022" max="1022" width="7.42578125" style="14" customWidth="1"/>
    <col min="1023" max="1023" width="6.42578125" style="14" customWidth="1"/>
    <col min="1024" max="1024" width="10.85546875" style="14" customWidth="1"/>
    <col min="1025" max="1025" width="5.42578125" style="14" bestFit="1" customWidth="1"/>
    <col min="1026" max="1026" width="22.42578125" style="14" bestFit="1" customWidth="1"/>
    <col min="1027" max="1027" width="12" style="14" bestFit="1" customWidth="1"/>
    <col min="1028" max="1028" width="10.42578125" style="14" customWidth="1"/>
    <col min="1029" max="1029" width="17.42578125" style="14" bestFit="1" customWidth="1"/>
    <col min="1030" max="1030" width="11.42578125" style="14" bestFit="1" customWidth="1"/>
    <col min="1031" max="1272" width="8.85546875" style="14"/>
    <col min="1273" max="1273" width="6.42578125" style="14" customWidth="1"/>
    <col min="1274" max="1274" width="35.85546875" style="14" customWidth="1"/>
    <col min="1275" max="1275" width="16.42578125" style="14" customWidth="1"/>
    <col min="1276" max="1276" width="5.42578125" style="14" customWidth="1"/>
    <col min="1277" max="1277" width="9.42578125" style="14" customWidth="1"/>
    <col min="1278" max="1278" width="7.42578125" style="14" customWidth="1"/>
    <col min="1279" max="1279" width="6.42578125" style="14" customWidth="1"/>
    <col min="1280" max="1280" width="10.85546875" style="14" customWidth="1"/>
    <col min="1281" max="1281" width="5.42578125" style="14" bestFit="1" customWidth="1"/>
    <col min="1282" max="1282" width="22.42578125" style="14" bestFit="1" customWidth="1"/>
    <col min="1283" max="1283" width="12" style="14" bestFit="1" customWidth="1"/>
    <col min="1284" max="1284" width="10.42578125" style="14" customWidth="1"/>
    <col min="1285" max="1285" width="17.42578125" style="14" bestFit="1" customWidth="1"/>
    <col min="1286" max="1286" width="11.42578125" style="14" bestFit="1" customWidth="1"/>
    <col min="1287" max="1528" width="8.85546875" style="14"/>
    <col min="1529" max="1529" width="6.42578125" style="14" customWidth="1"/>
    <col min="1530" max="1530" width="35.85546875" style="14" customWidth="1"/>
    <col min="1531" max="1531" width="16.42578125" style="14" customWidth="1"/>
    <col min="1532" max="1532" width="5.42578125" style="14" customWidth="1"/>
    <col min="1533" max="1533" width="9.42578125" style="14" customWidth="1"/>
    <col min="1534" max="1534" width="7.42578125" style="14" customWidth="1"/>
    <col min="1535" max="1535" width="6.42578125" style="14" customWidth="1"/>
    <col min="1536" max="1536" width="10.85546875" style="14" customWidth="1"/>
    <col min="1537" max="1537" width="5.42578125" style="14" bestFit="1" customWidth="1"/>
    <col min="1538" max="1538" width="22.42578125" style="14" bestFit="1" customWidth="1"/>
    <col min="1539" max="1539" width="12" style="14" bestFit="1" customWidth="1"/>
    <col min="1540" max="1540" width="10.42578125" style="14" customWidth="1"/>
    <col min="1541" max="1541" width="17.42578125" style="14" bestFit="1" customWidth="1"/>
    <col min="1542" max="1542" width="11.42578125" style="14" bestFit="1" customWidth="1"/>
    <col min="1543" max="1784" width="8.85546875" style="14"/>
    <col min="1785" max="1785" width="6.42578125" style="14" customWidth="1"/>
    <col min="1786" max="1786" width="35.85546875" style="14" customWidth="1"/>
    <col min="1787" max="1787" width="16.42578125" style="14" customWidth="1"/>
    <col min="1788" max="1788" width="5.42578125" style="14" customWidth="1"/>
    <col min="1789" max="1789" width="9.42578125" style="14" customWidth="1"/>
    <col min="1790" max="1790" width="7.42578125" style="14" customWidth="1"/>
    <col min="1791" max="1791" width="6.42578125" style="14" customWidth="1"/>
    <col min="1792" max="1792" width="10.85546875" style="14" customWidth="1"/>
    <col min="1793" max="1793" width="5.42578125" style="14" bestFit="1" customWidth="1"/>
    <col min="1794" max="1794" width="22.42578125" style="14" bestFit="1" customWidth="1"/>
    <col min="1795" max="1795" width="12" style="14" bestFit="1" customWidth="1"/>
    <col min="1796" max="1796" width="10.42578125" style="14" customWidth="1"/>
    <col min="1797" max="1797" width="17.42578125" style="14" bestFit="1" customWidth="1"/>
    <col min="1798" max="1798" width="11.42578125" style="14" bestFit="1" customWidth="1"/>
    <col min="1799" max="2040" width="8.85546875" style="14"/>
    <col min="2041" max="2041" width="6.42578125" style="14" customWidth="1"/>
    <col min="2042" max="2042" width="35.85546875" style="14" customWidth="1"/>
    <col min="2043" max="2043" width="16.42578125" style="14" customWidth="1"/>
    <col min="2044" max="2044" width="5.42578125" style="14" customWidth="1"/>
    <col min="2045" max="2045" width="9.42578125" style="14" customWidth="1"/>
    <col min="2046" max="2046" width="7.42578125" style="14" customWidth="1"/>
    <col min="2047" max="2047" width="6.42578125" style="14" customWidth="1"/>
    <col min="2048" max="2048" width="10.85546875" style="14" customWidth="1"/>
    <col min="2049" max="2049" width="5.42578125" style="14" bestFit="1" customWidth="1"/>
    <col min="2050" max="2050" width="22.42578125" style="14" bestFit="1" customWidth="1"/>
    <col min="2051" max="2051" width="12" style="14" bestFit="1" customWidth="1"/>
    <col min="2052" max="2052" width="10.42578125" style="14" customWidth="1"/>
    <col min="2053" max="2053" width="17.42578125" style="14" bestFit="1" customWidth="1"/>
    <col min="2054" max="2054" width="11.42578125" style="14" bestFit="1" customWidth="1"/>
    <col min="2055" max="2296" width="8.85546875" style="14"/>
    <col min="2297" max="2297" width="6.42578125" style="14" customWidth="1"/>
    <col min="2298" max="2298" width="35.85546875" style="14" customWidth="1"/>
    <col min="2299" max="2299" width="16.42578125" style="14" customWidth="1"/>
    <col min="2300" max="2300" width="5.42578125" style="14" customWidth="1"/>
    <col min="2301" max="2301" width="9.42578125" style="14" customWidth="1"/>
    <col min="2302" max="2302" width="7.42578125" style="14" customWidth="1"/>
    <col min="2303" max="2303" width="6.42578125" style="14" customWidth="1"/>
    <col min="2304" max="2304" width="10.85546875" style="14" customWidth="1"/>
    <col min="2305" max="2305" width="5.42578125" style="14" bestFit="1" customWidth="1"/>
    <col min="2306" max="2306" width="22.42578125" style="14" bestFit="1" customWidth="1"/>
    <col min="2307" max="2307" width="12" style="14" bestFit="1" customWidth="1"/>
    <col min="2308" max="2308" width="10.42578125" style="14" customWidth="1"/>
    <col min="2309" max="2309" width="17.42578125" style="14" bestFit="1" customWidth="1"/>
    <col min="2310" max="2310" width="11.42578125" style="14" bestFit="1" customWidth="1"/>
    <col min="2311" max="2552" width="8.85546875" style="14"/>
    <col min="2553" max="2553" width="6.42578125" style="14" customWidth="1"/>
    <col min="2554" max="2554" width="35.85546875" style="14" customWidth="1"/>
    <col min="2555" max="2555" width="16.42578125" style="14" customWidth="1"/>
    <col min="2556" max="2556" width="5.42578125" style="14" customWidth="1"/>
    <col min="2557" max="2557" width="9.42578125" style="14" customWidth="1"/>
    <col min="2558" max="2558" width="7.42578125" style="14" customWidth="1"/>
    <col min="2559" max="2559" width="6.42578125" style="14" customWidth="1"/>
    <col min="2560" max="2560" width="10.85546875" style="14" customWidth="1"/>
    <col min="2561" max="2561" width="5.42578125" style="14" bestFit="1" customWidth="1"/>
    <col min="2562" max="2562" width="22.42578125" style="14" bestFit="1" customWidth="1"/>
    <col min="2563" max="2563" width="12" style="14" bestFit="1" customWidth="1"/>
    <col min="2564" max="2564" width="10.42578125" style="14" customWidth="1"/>
    <col min="2565" max="2565" width="17.42578125" style="14" bestFit="1" customWidth="1"/>
    <col min="2566" max="2566" width="11.42578125" style="14" bestFit="1" customWidth="1"/>
    <col min="2567" max="2808" width="8.85546875" style="14"/>
    <col min="2809" max="2809" width="6.42578125" style="14" customWidth="1"/>
    <col min="2810" max="2810" width="35.85546875" style="14" customWidth="1"/>
    <col min="2811" max="2811" width="16.42578125" style="14" customWidth="1"/>
    <col min="2812" max="2812" width="5.42578125" style="14" customWidth="1"/>
    <col min="2813" max="2813" width="9.42578125" style="14" customWidth="1"/>
    <col min="2814" max="2814" width="7.42578125" style="14" customWidth="1"/>
    <col min="2815" max="2815" width="6.42578125" style="14" customWidth="1"/>
    <col min="2816" max="2816" width="10.85546875" style="14" customWidth="1"/>
    <col min="2817" max="2817" width="5.42578125" style="14" bestFit="1" customWidth="1"/>
    <col min="2818" max="2818" width="22.42578125" style="14" bestFit="1" customWidth="1"/>
    <col min="2819" max="2819" width="12" style="14" bestFit="1" customWidth="1"/>
    <col min="2820" max="2820" width="10.42578125" style="14" customWidth="1"/>
    <col min="2821" max="2821" width="17.42578125" style="14" bestFit="1" customWidth="1"/>
    <col min="2822" max="2822" width="11.42578125" style="14" bestFit="1" customWidth="1"/>
    <col min="2823" max="3064" width="8.85546875" style="14"/>
    <col min="3065" max="3065" width="6.42578125" style="14" customWidth="1"/>
    <col min="3066" max="3066" width="35.85546875" style="14" customWidth="1"/>
    <col min="3067" max="3067" width="16.42578125" style="14" customWidth="1"/>
    <col min="3068" max="3068" width="5.42578125" style="14" customWidth="1"/>
    <col min="3069" max="3069" width="9.42578125" style="14" customWidth="1"/>
    <col min="3070" max="3070" width="7.42578125" style="14" customWidth="1"/>
    <col min="3071" max="3071" width="6.42578125" style="14" customWidth="1"/>
    <col min="3072" max="3072" width="10.85546875" style="14" customWidth="1"/>
    <col min="3073" max="3073" width="5.42578125" style="14" bestFit="1" customWidth="1"/>
    <col min="3074" max="3074" width="22.42578125" style="14" bestFit="1" customWidth="1"/>
    <col min="3075" max="3075" width="12" style="14" bestFit="1" customWidth="1"/>
    <col min="3076" max="3076" width="10.42578125" style="14" customWidth="1"/>
    <col min="3077" max="3077" width="17.42578125" style="14" bestFit="1" customWidth="1"/>
    <col min="3078" max="3078" width="11.42578125" style="14" bestFit="1" customWidth="1"/>
    <col min="3079" max="3320" width="8.85546875" style="14"/>
    <col min="3321" max="3321" width="6.42578125" style="14" customWidth="1"/>
    <col min="3322" max="3322" width="35.85546875" style="14" customWidth="1"/>
    <col min="3323" max="3323" width="16.42578125" style="14" customWidth="1"/>
    <col min="3324" max="3324" width="5.42578125" style="14" customWidth="1"/>
    <col min="3325" max="3325" width="9.42578125" style="14" customWidth="1"/>
    <col min="3326" max="3326" width="7.42578125" style="14" customWidth="1"/>
    <col min="3327" max="3327" width="6.42578125" style="14" customWidth="1"/>
    <col min="3328" max="3328" width="10.85546875" style="14" customWidth="1"/>
    <col min="3329" max="3329" width="5.42578125" style="14" bestFit="1" customWidth="1"/>
    <col min="3330" max="3330" width="22.42578125" style="14" bestFit="1" customWidth="1"/>
    <col min="3331" max="3331" width="12" style="14" bestFit="1" customWidth="1"/>
    <col min="3332" max="3332" width="10.42578125" style="14" customWidth="1"/>
    <col min="3333" max="3333" width="17.42578125" style="14" bestFit="1" customWidth="1"/>
    <col min="3334" max="3334" width="11.42578125" style="14" bestFit="1" customWidth="1"/>
    <col min="3335" max="3576" width="8.85546875" style="14"/>
    <col min="3577" max="3577" width="6.42578125" style="14" customWidth="1"/>
    <col min="3578" max="3578" width="35.85546875" style="14" customWidth="1"/>
    <col min="3579" max="3579" width="16.42578125" style="14" customWidth="1"/>
    <col min="3580" max="3580" width="5.42578125" style="14" customWidth="1"/>
    <col min="3581" max="3581" width="9.42578125" style="14" customWidth="1"/>
    <col min="3582" max="3582" width="7.42578125" style="14" customWidth="1"/>
    <col min="3583" max="3583" width="6.42578125" style="14" customWidth="1"/>
    <col min="3584" max="3584" width="10.85546875" style="14" customWidth="1"/>
    <col min="3585" max="3585" width="5.42578125" style="14" bestFit="1" customWidth="1"/>
    <col min="3586" max="3586" width="22.42578125" style="14" bestFit="1" customWidth="1"/>
    <col min="3587" max="3587" width="12" style="14" bestFit="1" customWidth="1"/>
    <col min="3588" max="3588" width="10.42578125" style="14" customWidth="1"/>
    <col min="3589" max="3589" width="17.42578125" style="14" bestFit="1" customWidth="1"/>
    <col min="3590" max="3590" width="11.42578125" style="14" bestFit="1" customWidth="1"/>
    <col min="3591" max="3832" width="8.85546875" style="14"/>
    <col min="3833" max="3833" width="6.42578125" style="14" customWidth="1"/>
    <col min="3834" max="3834" width="35.85546875" style="14" customWidth="1"/>
    <col min="3835" max="3835" width="16.42578125" style="14" customWidth="1"/>
    <col min="3836" max="3836" width="5.42578125" style="14" customWidth="1"/>
    <col min="3837" max="3837" width="9.42578125" style="14" customWidth="1"/>
    <col min="3838" max="3838" width="7.42578125" style="14" customWidth="1"/>
    <col min="3839" max="3839" width="6.42578125" style="14" customWidth="1"/>
    <col min="3840" max="3840" width="10.85546875" style="14" customWidth="1"/>
    <col min="3841" max="3841" width="5.42578125" style="14" bestFit="1" customWidth="1"/>
    <col min="3842" max="3842" width="22.42578125" style="14" bestFit="1" customWidth="1"/>
    <col min="3843" max="3843" width="12" style="14" bestFit="1" customWidth="1"/>
    <col min="3844" max="3844" width="10.42578125" style="14" customWidth="1"/>
    <col min="3845" max="3845" width="17.42578125" style="14" bestFit="1" customWidth="1"/>
    <col min="3846" max="3846" width="11.42578125" style="14" bestFit="1" customWidth="1"/>
    <col min="3847" max="4088" width="8.85546875" style="14"/>
    <col min="4089" max="4089" width="6.42578125" style="14" customWidth="1"/>
    <col min="4090" max="4090" width="35.85546875" style="14" customWidth="1"/>
    <col min="4091" max="4091" width="16.42578125" style="14" customWidth="1"/>
    <col min="4092" max="4092" width="5.42578125" style="14" customWidth="1"/>
    <col min="4093" max="4093" width="9.42578125" style="14" customWidth="1"/>
    <col min="4094" max="4094" width="7.42578125" style="14" customWidth="1"/>
    <col min="4095" max="4095" width="6.42578125" style="14" customWidth="1"/>
    <col min="4096" max="4096" width="10.85546875" style="14" customWidth="1"/>
    <col min="4097" max="4097" width="5.42578125" style="14" bestFit="1" customWidth="1"/>
    <col min="4098" max="4098" width="22.42578125" style="14" bestFit="1" customWidth="1"/>
    <col min="4099" max="4099" width="12" style="14" bestFit="1" customWidth="1"/>
    <col min="4100" max="4100" width="10.42578125" style="14" customWidth="1"/>
    <col min="4101" max="4101" width="17.42578125" style="14" bestFit="1" customWidth="1"/>
    <col min="4102" max="4102" width="11.42578125" style="14" bestFit="1" customWidth="1"/>
    <col min="4103" max="4344" width="8.85546875" style="14"/>
    <col min="4345" max="4345" width="6.42578125" style="14" customWidth="1"/>
    <col min="4346" max="4346" width="35.85546875" style="14" customWidth="1"/>
    <col min="4347" max="4347" width="16.42578125" style="14" customWidth="1"/>
    <col min="4348" max="4348" width="5.42578125" style="14" customWidth="1"/>
    <col min="4349" max="4349" width="9.42578125" style="14" customWidth="1"/>
    <col min="4350" max="4350" width="7.42578125" style="14" customWidth="1"/>
    <col min="4351" max="4351" width="6.42578125" style="14" customWidth="1"/>
    <col min="4352" max="4352" width="10.85546875" style="14" customWidth="1"/>
    <col min="4353" max="4353" width="5.42578125" style="14" bestFit="1" customWidth="1"/>
    <col min="4354" max="4354" width="22.42578125" style="14" bestFit="1" customWidth="1"/>
    <col min="4355" max="4355" width="12" style="14" bestFit="1" customWidth="1"/>
    <col min="4356" max="4356" width="10.42578125" style="14" customWidth="1"/>
    <col min="4357" max="4357" width="17.42578125" style="14" bestFit="1" customWidth="1"/>
    <col min="4358" max="4358" width="11.42578125" style="14" bestFit="1" customWidth="1"/>
    <col min="4359" max="4600" width="8.85546875" style="14"/>
    <col min="4601" max="4601" width="6.42578125" style="14" customWidth="1"/>
    <col min="4602" max="4602" width="35.85546875" style="14" customWidth="1"/>
    <col min="4603" max="4603" width="16.42578125" style="14" customWidth="1"/>
    <col min="4604" max="4604" width="5.42578125" style="14" customWidth="1"/>
    <col min="4605" max="4605" width="9.42578125" style="14" customWidth="1"/>
    <col min="4606" max="4606" width="7.42578125" style="14" customWidth="1"/>
    <col min="4607" max="4607" width="6.42578125" style="14" customWidth="1"/>
    <col min="4608" max="4608" width="10.85546875" style="14" customWidth="1"/>
    <col min="4609" max="4609" width="5.42578125" style="14" bestFit="1" customWidth="1"/>
    <col min="4610" max="4610" width="22.42578125" style="14" bestFit="1" customWidth="1"/>
    <col min="4611" max="4611" width="12" style="14" bestFit="1" customWidth="1"/>
    <col min="4612" max="4612" width="10.42578125" style="14" customWidth="1"/>
    <col min="4613" max="4613" width="17.42578125" style="14" bestFit="1" customWidth="1"/>
    <col min="4614" max="4614" width="11.42578125" style="14" bestFit="1" customWidth="1"/>
    <col min="4615" max="4856" width="8.85546875" style="14"/>
    <col min="4857" max="4857" width="6.42578125" style="14" customWidth="1"/>
    <col min="4858" max="4858" width="35.85546875" style="14" customWidth="1"/>
    <col min="4859" max="4859" width="16.42578125" style="14" customWidth="1"/>
    <col min="4860" max="4860" width="5.42578125" style="14" customWidth="1"/>
    <col min="4861" max="4861" width="9.42578125" style="14" customWidth="1"/>
    <col min="4862" max="4862" width="7.42578125" style="14" customWidth="1"/>
    <col min="4863" max="4863" width="6.42578125" style="14" customWidth="1"/>
    <col min="4864" max="4864" width="10.85546875" style="14" customWidth="1"/>
    <col min="4865" max="4865" width="5.42578125" style="14" bestFit="1" customWidth="1"/>
    <col min="4866" max="4866" width="22.42578125" style="14" bestFit="1" customWidth="1"/>
    <col min="4867" max="4867" width="12" style="14" bestFit="1" customWidth="1"/>
    <col min="4868" max="4868" width="10.42578125" style="14" customWidth="1"/>
    <col min="4869" max="4869" width="17.42578125" style="14" bestFit="1" customWidth="1"/>
    <col min="4870" max="4870" width="11.42578125" style="14" bestFit="1" customWidth="1"/>
    <col min="4871" max="5112" width="8.85546875" style="14"/>
    <col min="5113" max="5113" width="6.42578125" style="14" customWidth="1"/>
    <col min="5114" max="5114" width="35.85546875" style="14" customWidth="1"/>
    <col min="5115" max="5115" width="16.42578125" style="14" customWidth="1"/>
    <col min="5116" max="5116" width="5.42578125" style="14" customWidth="1"/>
    <col min="5117" max="5117" width="9.42578125" style="14" customWidth="1"/>
    <col min="5118" max="5118" width="7.42578125" style="14" customWidth="1"/>
    <col min="5119" max="5119" width="6.42578125" style="14" customWidth="1"/>
    <col min="5120" max="5120" width="10.85546875" style="14" customWidth="1"/>
    <col min="5121" max="5121" width="5.42578125" style="14" bestFit="1" customWidth="1"/>
    <col min="5122" max="5122" width="22.42578125" style="14" bestFit="1" customWidth="1"/>
    <col min="5123" max="5123" width="12" style="14" bestFit="1" customWidth="1"/>
    <col min="5124" max="5124" width="10.42578125" style="14" customWidth="1"/>
    <col min="5125" max="5125" width="17.42578125" style="14" bestFit="1" customWidth="1"/>
    <col min="5126" max="5126" width="11.42578125" style="14" bestFit="1" customWidth="1"/>
    <col min="5127" max="5368" width="8.85546875" style="14"/>
    <col min="5369" max="5369" width="6.42578125" style="14" customWidth="1"/>
    <col min="5370" max="5370" width="35.85546875" style="14" customWidth="1"/>
    <col min="5371" max="5371" width="16.42578125" style="14" customWidth="1"/>
    <col min="5372" max="5372" width="5.42578125" style="14" customWidth="1"/>
    <col min="5373" max="5373" width="9.42578125" style="14" customWidth="1"/>
    <col min="5374" max="5374" width="7.42578125" style="14" customWidth="1"/>
    <col min="5375" max="5375" width="6.42578125" style="14" customWidth="1"/>
    <col min="5376" max="5376" width="10.85546875" style="14" customWidth="1"/>
    <col min="5377" max="5377" width="5.42578125" style="14" bestFit="1" customWidth="1"/>
    <col min="5378" max="5378" width="22.42578125" style="14" bestFit="1" customWidth="1"/>
    <col min="5379" max="5379" width="12" style="14" bestFit="1" customWidth="1"/>
    <col min="5380" max="5380" width="10.42578125" style="14" customWidth="1"/>
    <col min="5381" max="5381" width="17.42578125" style="14" bestFit="1" customWidth="1"/>
    <col min="5382" max="5382" width="11.42578125" style="14" bestFit="1" customWidth="1"/>
    <col min="5383" max="5624" width="8.85546875" style="14"/>
    <col min="5625" max="5625" width="6.42578125" style="14" customWidth="1"/>
    <col min="5626" max="5626" width="35.85546875" style="14" customWidth="1"/>
    <col min="5627" max="5627" width="16.42578125" style="14" customWidth="1"/>
    <col min="5628" max="5628" width="5.42578125" style="14" customWidth="1"/>
    <col min="5629" max="5629" width="9.42578125" style="14" customWidth="1"/>
    <col min="5630" max="5630" width="7.42578125" style="14" customWidth="1"/>
    <col min="5631" max="5631" width="6.42578125" style="14" customWidth="1"/>
    <col min="5632" max="5632" width="10.85546875" style="14" customWidth="1"/>
    <col min="5633" max="5633" width="5.42578125" style="14" bestFit="1" customWidth="1"/>
    <col min="5634" max="5634" width="22.42578125" style="14" bestFit="1" customWidth="1"/>
    <col min="5635" max="5635" width="12" style="14" bestFit="1" customWidth="1"/>
    <col min="5636" max="5636" width="10.42578125" style="14" customWidth="1"/>
    <col min="5637" max="5637" width="17.42578125" style="14" bestFit="1" customWidth="1"/>
    <col min="5638" max="5638" width="11.42578125" style="14" bestFit="1" customWidth="1"/>
    <col min="5639" max="5880" width="8.85546875" style="14"/>
    <col min="5881" max="5881" width="6.42578125" style="14" customWidth="1"/>
    <col min="5882" max="5882" width="35.85546875" style="14" customWidth="1"/>
    <col min="5883" max="5883" width="16.42578125" style="14" customWidth="1"/>
    <col min="5884" max="5884" width="5.42578125" style="14" customWidth="1"/>
    <col min="5885" max="5885" width="9.42578125" style="14" customWidth="1"/>
    <col min="5886" max="5886" width="7.42578125" style="14" customWidth="1"/>
    <col min="5887" max="5887" width="6.42578125" style="14" customWidth="1"/>
    <col min="5888" max="5888" width="10.85546875" style="14" customWidth="1"/>
    <col min="5889" max="5889" width="5.42578125" style="14" bestFit="1" customWidth="1"/>
    <col min="5890" max="5890" width="22.42578125" style="14" bestFit="1" customWidth="1"/>
    <col min="5891" max="5891" width="12" style="14" bestFit="1" customWidth="1"/>
    <col min="5892" max="5892" width="10.42578125" style="14" customWidth="1"/>
    <col min="5893" max="5893" width="17.42578125" style="14" bestFit="1" customWidth="1"/>
    <col min="5894" max="5894" width="11.42578125" style="14" bestFit="1" customWidth="1"/>
    <col min="5895" max="6136" width="8.85546875" style="14"/>
    <col min="6137" max="6137" width="6.42578125" style="14" customWidth="1"/>
    <col min="6138" max="6138" width="35.85546875" style="14" customWidth="1"/>
    <col min="6139" max="6139" width="16.42578125" style="14" customWidth="1"/>
    <col min="6140" max="6140" width="5.42578125" style="14" customWidth="1"/>
    <col min="6141" max="6141" width="9.42578125" style="14" customWidth="1"/>
    <col min="6142" max="6142" width="7.42578125" style="14" customWidth="1"/>
    <col min="6143" max="6143" width="6.42578125" style="14" customWidth="1"/>
    <col min="6144" max="6144" width="10.85546875" style="14" customWidth="1"/>
    <col min="6145" max="6145" width="5.42578125" style="14" bestFit="1" customWidth="1"/>
    <col min="6146" max="6146" width="22.42578125" style="14" bestFit="1" customWidth="1"/>
    <col min="6147" max="6147" width="12" style="14" bestFit="1" customWidth="1"/>
    <col min="6148" max="6148" width="10.42578125" style="14" customWidth="1"/>
    <col min="6149" max="6149" width="17.42578125" style="14" bestFit="1" customWidth="1"/>
    <col min="6150" max="6150" width="11.42578125" style="14" bestFit="1" customWidth="1"/>
    <col min="6151" max="6392" width="8.85546875" style="14"/>
    <col min="6393" max="6393" width="6.42578125" style="14" customWidth="1"/>
    <col min="6394" max="6394" width="35.85546875" style="14" customWidth="1"/>
    <col min="6395" max="6395" width="16.42578125" style="14" customWidth="1"/>
    <col min="6396" max="6396" width="5.42578125" style="14" customWidth="1"/>
    <col min="6397" max="6397" width="9.42578125" style="14" customWidth="1"/>
    <col min="6398" max="6398" width="7.42578125" style="14" customWidth="1"/>
    <col min="6399" max="6399" width="6.42578125" style="14" customWidth="1"/>
    <col min="6400" max="6400" width="10.85546875" style="14" customWidth="1"/>
    <col min="6401" max="6401" width="5.42578125" style="14" bestFit="1" customWidth="1"/>
    <col min="6402" max="6402" width="22.42578125" style="14" bestFit="1" customWidth="1"/>
    <col min="6403" max="6403" width="12" style="14" bestFit="1" customWidth="1"/>
    <col min="6404" max="6404" width="10.42578125" style="14" customWidth="1"/>
    <col min="6405" max="6405" width="17.42578125" style="14" bestFit="1" customWidth="1"/>
    <col min="6406" max="6406" width="11.42578125" style="14" bestFit="1" customWidth="1"/>
    <col min="6407" max="6648" width="8.85546875" style="14"/>
    <col min="6649" max="6649" width="6.42578125" style="14" customWidth="1"/>
    <col min="6650" max="6650" width="35.85546875" style="14" customWidth="1"/>
    <col min="6651" max="6651" width="16.42578125" style="14" customWidth="1"/>
    <col min="6652" max="6652" width="5.42578125" style="14" customWidth="1"/>
    <col min="6653" max="6653" width="9.42578125" style="14" customWidth="1"/>
    <col min="6654" max="6654" width="7.42578125" style="14" customWidth="1"/>
    <col min="6655" max="6655" width="6.42578125" style="14" customWidth="1"/>
    <col min="6656" max="6656" width="10.85546875" style="14" customWidth="1"/>
    <col min="6657" max="6657" width="5.42578125" style="14" bestFit="1" customWidth="1"/>
    <col min="6658" max="6658" width="22.42578125" style="14" bestFit="1" customWidth="1"/>
    <col min="6659" max="6659" width="12" style="14" bestFit="1" customWidth="1"/>
    <col min="6660" max="6660" width="10.42578125" style="14" customWidth="1"/>
    <col min="6661" max="6661" width="17.42578125" style="14" bestFit="1" customWidth="1"/>
    <col min="6662" max="6662" width="11.42578125" style="14" bestFit="1" customWidth="1"/>
    <col min="6663" max="6904" width="8.85546875" style="14"/>
    <col min="6905" max="6905" width="6.42578125" style="14" customWidth="1"/>
    <col min="6906" max="6906" width="35.85546875" style="14" customWidth="1"/>
    <col min="6907" max="6907" width="16.42578125" style="14" customWidth="1"/>
    <col min="6908" max="6908" width="5.42578125" style="14" customWidth="1"/>
    <col min="6909" max="6909" width="9.42578125" style="14" customWidth="1"/>
    <col min="6910" max="6910" width="7.42578125" style="14" customWidth="1"/>
    <col min="6911" max="6911" width="6.42578125" style="14" customWidth="1"/>
    <col min="6912" max="6912" width="10.85546875" style="14" customWidth="1"/>
    <col min="6913" max="6913" width="5.42578125" style="14" bestFit="1" customWidth="1"/>
    <col min="6914" max="6914" width="22.42578125" style="14" bestFit="1" customWidth="1"/>
    <col min="6915" max="6915" width="12" style="14" bestFit="1" customWidth="1"/>
    <col min="6916" max="6916" width="10.42578125" style="14" customWidth="1"/>
    <col min="6917" max="6917" width="17.42578125" style="14" bestFit="1" customWidth="1"/>
    <col min="6918" max="6918" width="11.42578125" style="14" bestFit="1" customWidth="1"/>
    <col min="6919" max="7160" width="8.85546875" style="14"/>
    <col min="7161" max="7161" width="6.42578125" style="14" customWidth="1"/>
    <col min="7162" max="7162" width="35.85546875" style="14" customWidth="1"/>
    <col min="7163" max="7163" width="16.42578125" style="14" customWidth="1"/>
    <col min="7164" max="7164" width="5.42578125" style="14" customWidth="1"/>
    <col min="7165" max="7165" width="9.42578125" style="14" customWidth="1"/>
    <col min="7166" max="7166" width="7.42578125" style="14" customWidth="1"/>
    <col min="7167" max="7167" width="6.42578125" style="14" customWidth="1"/>
    <col min="7168" max="7168" width="10.85546875" style="14" customWidth="1"/>
    <col min="7169" max="7169" width="5.42578125" style="14" bestFit="1" customWidth="1"/>
    <col min="7170" max="7170" width="22.42578125" style="14" bestFit="1" customWidth="1"/>
    <col min="7171" max="7171" width="12" style="14" bestFit="1" customWidth="1"/>
    <col min="7172" max="7172" width="10.42578125" style="14" customWidth="1"/>
    <col min="7173" max="7173" width="17.42578125" style="14" bestFit="1" customWidth="1"/>
    <col min="7174" max="7174" width="11.42578125" style="14" bestFit="1" customWidth="1"/>
    <col min="7175" max="7416" width="8.85546875" style="14"/>
    <col min="7417" max="7417" width="6.42578125" style="14" customWidth="1"/>
    <col min="7418" max="7418" width="35.85546875" style="14" customWidth="1"/>
    <col min="7419" max="7419" width="16.42578125" style="14" customWidth="1"/>
    <col min="7420" max="7420" width="5.42578125" style="14" customWidth="1"/>
    <col min="7421" max="7421" width="9.42578125" style="14" customWidth="1"/>
    <col min="7422" max="7422" width="7.42578125" style="14" customWidth="1"/>
    <col min="7423" max="7423" width="6.42578125" style="14" customWidth="1"/>
    <col min="7424" max="7424" width="10.85546875" style="14" customWidth="1"/>
    <col min="7425" max="7425" width="5.42578125" style="14" bestFit="1" customWidth="1"/>
    <col min="7426" max="7426" width="22.42578125" style="14" bestFit="1" customWidth="1"/>
    <col min="7427" max="7427" width="12" style="14" bestFit="1" customWidth="1"/>
    <col min="7428" max="7428" width="10.42578125" style="14" customWidth="1"/>
    <col min="7429" max="7429" width="17.42578125" style="14" bestFit="1" customWidth="1"/>
    <col min="7430" max="7430" width="11.42578125" style="14" bestFit="1" customWidth="1"/>
    <col min="7431" max="7672" width="8.85546875" style="14"/>
    <col min="7673" max="7673" width="6.42578125" style="14" customWidth="1"/>
    <col min="7674" max="7674" width="35.85546875" style="14" customWidth="1"/>
    <col min="7675" max="7675" width="16.42578125" style="14" customWidth="1"/>
    <col min="7676" max="7676" width="5.42578125" style="14" customWidth="1"/>
    <col min="7677" max="7677" width="9.42578125" style="14" customWidth="1"/>
    <col min="7678" max="7678" width="7.42578125" style="14" customWidth="1"/>
    <col min="7679" max="7679" width="6.42578125" style="14" customWidth="1"/>
    <col min="7680" max="7680" width="10.85546875" style="14" customWidth="1"/>
    <col min="7681" max="7681" width="5.42578125" style="14" bestFit="1" customWidth="1"/>
    <col min="7682" max="7682" width="22.42578125" style="14" bestFit="1" customWidth="1"/>
    <col min="7683" max="7683" width="12" style="14" bestFit="1" customWidth="1"/>
    <col min="7684" max="7684" width="10.42578125" style="14" customWidth="1"/>
    <col min="7685" max="7685" width="17.42578125" style="14" bestFit="1" customWidth="1"/>
    <col min="7686" max="7686" width="11.42578125" style="14" bestFit="1" customWidth="1"/>
    <col min="7687" max="7928" width="8.85546875" style="14"/>
    <col min="7929" max="7929" width="6.42578125" style="14" customWidth="1"/>
    <col min="7930" max="7930" width="35.85546875" style="14" customWidth="1"/>
    <col min="7931" max="7931" width="16.42578125" style="14" customWidth="1"/>
    <col min="7932" max="7932" width="5.42578125" style="14" customWidth="1"/>
    <col min="7933" max="7933" width="9.42578125" style="14" customWidth="1"/>
    <col min="7934" max="7934" width="7.42578125" style="14" customWidth="1"/>
    <col min="7935" max="7935" width="6.42578125" style="14" customWidth="1"/>
    <col min="7936" max="7936" width="10.85546875" style="14" customWidth="1"/>
    <col min="7937" max="7937" width="5.42578125" style="14" bestFit="1" customWidth="1"/>
    <col min="7938" max="7938" width="22.42578125" style="14" bestFit="1" customWidth="1"/>
    <col min="7939" max="7939" width="12" style="14" bestFit="1" customWidth="1"/>
    <col min="7940" max="7940" width="10.42578125" style="14" customWidth="1"/>
    <col min="7941" max="7941" width="17.42578125" style="14" bestFit="1" customWidth="1"/>
    <col min="7942" max="7942" width="11.42578125" style="14" bestFit="1" customWidth="1"/>
    <col min="7943" max="8184" width="8.85546875" style="14"/>
    <col min="8185" max="8185" width="6.42578125" style="14" customWidth="1"/>
    <col min="8186" max="8186" width="35.85546875" style="14" customWidth="1"/>
    <col min="8187" max="8187" width="16.42578125" style="14" customWidth="1"/>
    <col min="8188" max="8188" width="5.42578125" style="14" customWidth="1"/>
    <col min="8189" max="8189" width="9.42578125" style="14" customWidth="1"/>
    <col min="8190" max="8190" width="7.42578125" style="14" customWidth="1"/>
    <col min="8191" max="8191" width="6.42578125" style="14" customWidth="1"/>
    <col min="8192" max="8192" width="10.85546875" style="14" customWidth="1"/>
    <col min="8193" max="8193" width="5.42578125" style="14" bestFit="1" customWidth="1"/>
    <col min="8194" max="8194" width="22.42578125" style="14" bestFit="1" customWidth="1"/>
    <col min="8195" max="8195" width="12" style="14" bestFit="1" customWidth="1"/>
    <col min="8196" max="8196" width="10.42578125" style="14" customWidth="1"/>
    <col min="8197" max="8197" width="17.42578125" style="14" bestFit="1" customWidth="1"/>
    <col min="8198" max="8198" width="11.42578125" style="14" bestFit="1" customWidth="1"/>
    <col min="8199" max="8440" width="8.85546875" style="14"/>
    <col min="8441" max="8441" width="6.42578125" style="14" customWidth="1"/>
    <col min="8442" max="8442" width="35.85546875" style="14" customWidth="1"/>
    <col min="8443" max="8443" width="16.42578125" style="14" customWidth="1"/>
    <col min="8444" max="8444" width="5.42578125" style="14" customWidth="1"/>
    <col min="8445" max="8445" width="9.42578125" style="14" customWidth="1"/>
    <col min="8446" max="8446" width="7.42578125" style="14" customWidth="1"/>
    <col min="8447" max="8447" width="6.42578125" style="14" customWidth="1"/>
    <col min="8448" max="8448" width="10.85546875" style="14" customWidth="1"/>
    <col min="8449" max="8449" width="5.42578125" style="14" bestFit="1" customWidth="1"/>
    <col min="8450" max="8450" width="22.42578125" style="14" bestFit="1" customWidth="1"/>
    <col min="8451" max="8451" width="12" style="14" bestFit="1" customWidth="1"/>
    <col min="8452" max="8452" width="10.42578125" style="14" customWidth="1"/>
    <col min="8453" max="8453" width="17.42578125" style="14" bestFit="1" customWidth="1"/>
    <col min="8454" max="8454" width="11.42578125" style="14" bestFit="1" customWidth="1"/>
    <col min="8455" max="8696" width="8.85546875" style="14"/>
    <col min="8697" max="8697" width="6.42578125" style="14" customWidth="1"/>
    <col min="8698" max="8698" width="35.85546875" style="14" customWidth="1"/>
    <col min="8699" max="8699" width="16.42578125" style="14" customWidth="1"/>
    <col min="8700" max="8700" width="5.42578125" style="14" customWidth="1"/>
    <col min="8701" max="8701" width="9.42578125" style="14" customWidth="1"/>
    <col min="8702" max="8702" width="7.42578125" style="14" customWidth="1"/>
    <col min="8703" max="8703" width="6.42578125" style="14" customWidth="1"/>
    <col min="8704" max="8704" width="10.85546875" style="14" customWidth="1"/>
    <col min="8705" max="8705" width="5.42578125" style="14" bestFit="1" customWidth="1"/>
    <col min="8706" max="8706" width="22.42578125" style="14" bestFit="1" customWidth="1"/>
    <col min="8707" max="8707" width="12" style="14" bestFit="1" customWidth="1"/>
    <col min="8708" max="8708" width="10.42578125" style="14" customWidth="1"/>
    <col min="8709" max="8709" width="17.42578125" style="14" bestFit="1" customWidth="1"/>
    <col min="8710" max="8710" width="11.42578125" style="14" bestFit="1" customWidth="1"/>
    <col min="8711" max="8952" width="8.85546875" style="14"/>
    <col min="8953" max="8953" width="6.42578125" style="14" customWidth="1"/>
    <col min="8954" max="8954" width="35.85546875" style="14" customWidth="1"/>
    <col min="8955" max="8955" width="16.42578125" style="14" customWidth="1"/>
    <col min="8956" max="8956" width="5.42578125" style="14" customWidth="1"/>
    <col min="8957" max="8957" width="9.42578125" style="14" customWidth="1"/>
    <col min="8958" max="8958" width="7.42578125" style="14" customWidth="1"/>
    <col min="8959" max="8959" width="6.42578125" style="14" customWidth="1"/>
    <col min="8960" max="8960" width="10.85546875" style="14" customWidth="1"/>
    <col min="8961" max="8961" width="5.42578125" style="14" bestFit="1" customWidth="1"/>
    <col min="8962" max="8962" width="22.42578125" style="14" bestFit="1" customWidth="1"/>
    <col min="8963" max="8963" width="12" style="14" bestFit="1" customWidth="1"/>
    <col min="8964" max="8964" width="10.42578125" style="14" customWidth="1"/>
    <col min="8965" max="8965" width="17.42578125" style="14" bestFit="1" customWidth="1"/>
    <col min="8966" max="8966" width="11.42578125" style="14" bestFit="1" customWidth="1"/>
    <col min="8967" max="9208" width="8.85546875" style="14"/>
    <col min="9209" max="9209" width="6.42578125" style="14" customWidth="1"/>
    <col min="9210" max="9210" width="35.85546875" style="14" customWidth="1"/>
    <col min="9211" max="9211" width="16.42578125" style="14" customWidth="1"/>
    <col min="9212" max="9212" width="5.42578125" style="14" customWidth="1"/>
    <col min="9213" max="9213" width="9.42578125" style="14" customWidth="1"/>
    <col min="9214" max="9214" width="7.42578125" style="14" customWidth="1"/>
    <col min="9215" max="9215" width="6.42578125" style="14" customWidth="1"/>
    <col min="9216" max="9216" width="10.85546875" style="14" customWidth="1"/>
    <col min="9217" max="9217" width="5.42578125" style="14" bestFit="1" customWidth="1"/>
    <col min="9218" max="9218" width="22.42578125" style="14" bestFit="1" customWidth="1"/>
    <col min="9219" max="9219" width="12" style="14" bestFit="1" customWidth="1"/>
    <col min="9220" max="9220" width="10.42578125" style="14" customWidth="1"/>
    <col min="9221" max="9221" width="17.42578125" style="14" bestFit="1" customWidth="1"/>
    <col min="9222" max="9222" width="11.42578125" style="14" bestFit="1" customWidth="1"/>
    <col min="9223" max="9464" width="8.85546875" style="14"/>
    <col min="9465" max="9465" width="6.42578125" style="14" customWidth="1"/>
    <col min="9466" max="9466" width="35.85546875" style="14" customWidth="1"/>
    <col min="9467" max="9467" width="16.42578125" style="14" customWidth="1"/>
    <col min="9468" max="9468" width="5.42578125" style="14" customWidth="1"/>
    <col min="9469" max="9469" width="9.42578125" style="14" customWidth="1"/>
    <col min="9470" max="9470" width="7.42578125" style="14" customWidth="1"/>
    <col min="9471" max="9471" width="6.42578125" style="14" customWidth="1"/>
    <col min="9472" max="9472" width="10.85546875" style="14" customWidth="1"/>
    <col min="9473" max="9473" width="5.42578125" style="14" bestFit="1" customWidth="1"/>
    <col min="9474" max="9474" width="22.42578125" style="14" bestFit="1" customWidth="1"/>
    <col min="9475" max="9475" width="12" style="14" bestFit="1" customWidth="1"/>
    <col min="9476" max="9476" width="10.42578125" style="14" customWidth="1"/>
    <col min="9477" max="9477" width="17.42578125" style="14" bestFit="1" customWidth="1"/>
    <col min="9478" max="9478" width="11.42578125" style="14" bestFit="1" customWidth="1"/>
    <col min="9479" max="9720" width="8.85546875" style="14"/>
    <col min="9721" max="9721" width="6.42578125" style="14" customWidth="1"/>
    <col min="9722" max="9722" width="35.85546875" style="14" customWidth="1"/>
    <col min="9723" max="9723" width="16.42578125" style="14" customWidth="1"/>
    <col min="9724" max="9724" width="5.42578125" style="14" customWidth="1"/>
    <col min="9725" max="9725" width="9.42578125" style="14" customWidth="1"/>
    <col min="9726" max="9726" width="7.42578125" style="14" customWidth="1"/>
    <col min="9727" max="9727" width="6.42578125" style="14" customWidth="1"/>
    <col min="9728" max="9728" width="10.85546875" style="14" customWidth="1"/>
    <col min="9729" max="9729" width="5.42578125" style="14" bestFit="1" customWidth="1"/>
    <col min="9730" max="9730" width="22.42578125" style="14" bestFit="1" customWidth="1"/>
    <col min="9731" max="9731" width="12" style="14" bestFit="1" customWidth="1"/>
    <col min="9732" max="9732" width="10.42578125" style="14" customWidth="1"/>
    <col min="9733" max="9733" width="17.42578125" style="14" bestFit="1" customWidth="1"/>
    <col min="9734" max="9734" width="11.42578125" style="14" bestFit="1" customWidth="1"/>
    <col min="9735" max="9976" width="8.85546875" style="14"/>
    <col min="9977" max="9977" width="6.42578125" style="14" customWidth="1"/>
    <col min="9978" max="9978" width="35.85546875" style="14" customWidth="1"/>
    <col min="9979" max="9979" width="16.42578125" style="14" customWidth="1"/>
    <col min="9980" max="9980" width="5.42578125" style="14" customWidth="1"/>
    <col min="9981" max="9981" width="9.42578125" style="14" customWidth="1"/>
    <col min="9982" max="9982" width="7.42578125" style="14" customWidth="1"/>
    <col min="9983" max="9983" width="6.42578125" style="14" customWidth="1"/>
    <col min="9984" max="9984" width="10.85546875" style="14" customWidth="1"/>
    <col min="9985" max="9985" width="5.42578125" style="14" bestFit="1" customWidth="1"/>
    <col min="9986" max="9986" width="22.42578125" style="14" bestFit="1" customWidth="1"/>
    <col min="9987" max="9987" width="12" style="14" bestFit="1" customWidth="1"/>
    <col min="9988" max="9988" width="10.42578125" style="14" customWidth="1"/>
    <col min="9989" max="9989" width="17.42578125" style="14" bestFit="1" customWidth="1"/>
    <col min="9990" max="9990" width="11.42578125" style="14" bestFit="1" customWidth="1"/>
    <col min="9991" max="10232" width="8.85546875" style="14"/>
    <col min="10233" max="10233" width="6.42578125" style="14" customWidth="1"/>
    <col min="10234" max="10234" width="35.85546875" style="14" customWidth="1"/>
    <col min="10235" max="10235" width="16.42578125" style="14" customWidth="1"/>
    <col min="10236" max="10236" width="5.42578125" style="14" customWidth="1"/>
    <col min="10237" max="10237" width="9.42578125" style="14" customWidth="1"/>
    <col min="10238" max="10238" width="7.42578125" style="14" customWidth="1"/>
    <col min="10239" max="10239" width="6.42578125" style="14" customWidth="1"/>
    <col min="10240" max="10240" width="10.85546875" style="14" customWidth="1"/>
    <col min="10241" max="10241" width="5.42578125" style="14" bestFit="1" customWidth="1"/>
    <col min="10242" max="10242" width="22.42578125" style="14" bestFit="1" customWidth="1"/>
    <col min="10243" max="10243" width="12" style="14" bestFit="1" customWidth="1"/>
    <col min="10244" max="10244" width="10.42578125" style="14" customWidth="1"/>
    <col min="10245" max="10245" width="17.42578125" style="14" bestFit="1" customWidth="1"/>
    <col min="10246" max="10246" width="11.42578125" style="14" bestFit="1" customWidth="1"/>
    <col min="10247" max="10488" width="8.85546875" style="14"/>
    <col min="10489" max="10489" width="6.42578125" style="14" customWidth="1"/>
    <col min="10490" max="10490" width="35.85546875" style="14" customWidth="1"/>
    <col min="10491" max="10491" width="16.42578125" style="14" customWidth="1"/>
    <col min="10492" max="10492" width="5.42578125" style="14" customWidth="1"/>
    <col min="10493" max="10493" width="9.42578125" style="14" customWidth="1"/>
    <col min="10494" max="10494" width="7.42578125" style="14" customWidth="1"/>
    <col min="10495" max="10495" width="6.42578125" style="14" customWidth="1"/>
    <col min="10496" max="10496" width="10.85546875" style="14" customWidth="1"/>
    <col min="10497" max="10497" width="5.42578125" style="14" bestFit="1" customWidth="1"/>
    <col min="10498" max="10498" width="22.42578125" style="14" bestFit="1" customWidth="1"/>
    <col min="10499" max="10499" width="12" style="14" bestFit="1" customWidth="1"/>
    <col min="10500" max="10500" width="10.42578125" style="14" customWidth="1"/>
    <col min="10501" max="10501" width="17.42578125" style="14" bestFit="1" customWidth="1"/>
    <col min="10502" max="10502" width="11.42578125" style="14" bestFit="1" customWidth="1"/>
    <col min="10503" max="10744" width="8.85546875" style="14"/>
    <col min="10745" max="10745" width="6.42578125" style="14" customWidth="1"/>
    <col min="10746" max="10746" width="35.85546875" style="14" customWidth="1"/>
    <col min="10747" max="10747" width="16.42578125" style="14" customWidth="1"/>
    <col min="10748" max="10748" width="5.42578125" style="14" customWidth="1"/>
    <col min="10749" max="10749" width="9.42578125" style="14" customWidth="1"/>
    <col min="10750" max="10750" width="7.42578125" style="14" customWidth="1"/>
    <col min="10751" max="10751" width="6.42578125" style="14" customWidth="1"/>
    <col min="10752" max="10752" width="10.85546875" style="14" customWidth="1"/>
    <col min="10753" max="10753" width="5.42578125" style="14" bestFit="1" customWidth="1"/>
    <col min="10754" max="10754" width="22.42578125" style="14" bestFit="1" customWidth="1"/>
    <col min="10755" max="10755" width="12" style="14" bestFit="1" customWidth="1"/>
    <col min="10756" max="10756" width="10.42578125" style="14" customWidth="1"/>
    <col min="10757" max="10757" width="17.42578125" style="14" bestFit="1" customWidth="1"/>
    <col min="10758" max="10758" width="11.42578125" style="14" bestFit="1" customWidth="1"/>
    <col min="10759" max="11000" width="8.85546875" style="14"/>
    <col min="11001" max="11001" width="6.42578125" style="14" customWidth="1"/>
    <col min="11002" max="11002" width="35.85546875" style="14" customWidth="1"/>
    <col min="11003" max="11003" width="16.42578125" style="14" customWidth="1"/>
    <col min="11004" max="11004" width="5.42578125" style="14" customWidth="1"/>
    <col min="11005" max="11005" width="9.42578125" style="14" customWidth="1"/>
    <col min="11006" max="11006" width="7.42578125" style="14" customWidth="1"/>
    <col min="11007" max="11007" width="6.42578125" style="14" customWidth="1"/>
    <col min="11008" max="11008" width="10.85546875" style="14" customWidth="1"/>
    <col min="11009" max="11009" width="5.42578125" style="14" bestFit="1" customWidth="1"/>
    <col min="11010" max="11010" width="22.42578125" style="14" bestFit="1" customWidth="1"/>
    <col min="11011" max="11011" width="12" style="14" bestFit="1" customWidth="1"/>
    <col min="11012" max="11012" width="10.42578125" style="14" customWidth="1"/>
    <col min="11013" max="11013" width="17.42578125" style="14" bestFit="1" customWidth="1"/>
    <col min="11014" max="11014" width="11.42578125" style="14" bestFit="1" customWidth="1"/>
    <col min="11015" max="11256" width="8.85546875" style="14"/>
    <col min="11257" max="11257" width="6.42578125" style="14" customWidth="1"/>
    <col min="11258" max="11258" width="35.85546875" style="14" customWidth="1"/>
    <col min="11259" max="11259" width="16.42578125" style="14" customWidth="1"/>
    <col min="11260" max="11260" width="5.42578125" style="14" customWidth="1"/>
    <col min="11261" max="11261" width="9.42578125" style="14" customWidth="1"/>
    <col min="11262" max="11262" width="7.42578125" style="14" customWidth="1"/>
    <col min="11263" max="11263" width="6.42578125" style="14" customWidth="1"/>
    <col min="11264" max="11264" width="10.85546875" style="14" customWidth="1"/>
    <col min="11265" max="11265" width="5.42578125" style="14" bestFit="1" customWidth="1"/>
    <col min="11266" max="11266" width="22.42578125" style="14" bestFit="1" customWidth="1"/>
    <col min="11267" max="11267" width="12" style="14" bestFit="1" customWidth="1"/>
    <col min="11268" max="11268" width="10.42578125" style="14" customWidth="1"/>
    <col min="11269" max="11269" width="17.42578125" style="14" bestFit="1" customWidth="1"/>
    <col min="11270" max="11270" width="11.42578125" style="14" bestFit="1" customWidth="1"/>
    <col min="11271" max="11512" width="8.85546875" style="14"/>
    <col min="11513" max="11513" width="6.42578125" style="14" customWidth="1"/>
    <col min="11514" max="11514" width="35.85546875" style="14" customWidth="1"/>
    <col min="11515" max="11515" width="16.42578125" style="14" customWidth="1"/>
    <col min="11516" max="11516" width="5.42578125" style="14" customWidth="1"/>
    <col min="11517" max="11517" width="9.42578125" style="14" customWidth="1"/>
    <col min="11518" max="11518" width="7.42578125" style="14" customWidth="1"/>
    <col min="11519" max="11519" width="6.42578125" style="14" customWidth="1"/>
    <col min="11520" max="11520" width="10.85546875" style="14" customWidth="1"/>
    <col min="11521" max="11521" width="5.42578125" style="14" bestFit="1" customWidth="1"/>
    <col min="11522" max="11522" width="22.42578125" style="14" bestFit="1" customWidth="1"/>
    <col min="11523" max="11523" width="12" style="14" bestFit="1" customWidth="1"/>
    <col min="11524" max="11524" width="10.42578125" style="14" customWidth="1"/>
    <col min="11525" max="11525" width="17.42578125" style="14" bestFit="1" customWidth="1"/>
    <col min="11526" max="11526" width="11.42578125" style="14" bestFit="1" customWidth="1"/>
    <col min="11527" max="11768" width="8.85546875" style="14"/>
    <col min="11769" max="11769" width="6.42578125" style="14" customWidth="1"/>
    <col min="11770" max="11770" width="35.85546875" style="14" customWidth="1"/>
    <col min="11771" max="11771" width="16.42578125" style="14" customWidth="1"/>
    <col min="11772" max="11772" width="5.42578125" style="14" customWidth="1"/>
    <col min="11773" max="11773" width="9.42578125" style="14" customWidth="1"/>
    <col min="11774" max="11774" width="7.42578125" style="14" customWidth="1"/>
    <col min="11775" max="11775" width="6.42578125" style="14" customWidth="1"/>
    <col min="11776" max="11776" width="10.85546875" style="14" customWidth="1"/>
    <col min="11777" max="11777" width="5.42578125" style="14" bestFit="1" customWidth="1"/>
    <col min="11778" max="11778" width="22.42578125" style="14" bestFit="1" customWidth="1"/>
    <col min="11779" max="11779" width="12" style="14" bestFit="1" customWidth="1"/>
    <col min="11780" max="11780" width="10.42578125" style="14" customWidth="1"/>
    <col min="11781" max="11781" width="17.42578125" style="14" bestFit="1" customWidth="1"/>
    <col min="11782" max="11782" width="11.42578125" style="14" bestFit="1" customWidth="1"/>
    <col min="11783" max="12024" width="8.85546875" style="14"/>
    <col min="12025" max="12025" width="6.42578125" style="14" customWidth="1"/>
    <col min="12026" max="12026" width="35.85546875" style="14" customWidth="1"/>
    <col min="12027" max="12027" width="16.42578125" style="14" customWidth="1"/>
    <col min="12028" max="12028" width="5.42578125" style="14" customWidth="1"/>
    <col min="12029" max="12029" width="9.42578125" style="14" customWidth="1"/>
    <col min="12030" max="12030" width="7.42578125" style="14" customWidth="1"/>
    <col min="12031" max="12031" width="6.42578125" style="14" customWidth="1"/>
    <col min="12032" max="12032" width="10.85546875" style="14" customWidth="1"/>
    <col min="12033" max="12033" width="5.42578125" style="14" bestFit="1" customWidth="1"/>
    <col min="12034" max="12034" width="22.42578125" style="14" bestFit="1" customWidth="1"/>
    <col min="12035" max="12035" width="12" style="14" bestFit="1" customWidth="1"/>
    <col min="12036" max="12036" width="10.42578125" style="14" customWidth="1"/>
    <col min="12037" max="12037" width="17.42578125" style="14" bestFit="1" customWidth="1"/>
    <col min="12038" max="12038" width="11.42578125" style="14" bestFit="1" customWidth="1"/>
    <col min="12039" max="12280" width="8.85546875" style="14"/>
    <col min="12281" max="12281" width="6.42578125" style="14" customWidth="1"/>
    <col min="12282" max="12282" width="35.85546875" style="14" customWidth="1"/>
    <col min="12283" max="12283" width="16.42578125" style="14" customWidth="1"/>
    <col min="12284" max="12284" width="5.42578125" style="14" customWidth="1"/>
    <col min="12285" max="12285" width="9.42578125" style="14" customWidth="1"/>
    <col min="12286" max="12286" width="7.42578125" style="14" customWidth="1"/>
    <col min="12287" max="12287" width="6.42578125" style="14" customWidth="1"/>
    <col min="12288" max="12288" width="10.85546875" style="14" customWidth="1"/>
    <col min="12289" max="12289" width="5.42578125" style="14" bestFit="1" customWidth="1"/>
    <col min="12290" max="12290" width="22.42578125" style="14" bestFit="1" customWidth="1"/>
    <col min="12291" max="12291" width="12" style="14" bestFit="1" customWidth="1"/>
    <col min="12292" max="12292" width="10.42578125" style="14" customWidth="1"/>
    <col min="12293" max="12293" width="17.42578125" style="14" bestFit="1" customWidth="1"/>
    <col min="12294" max="12294" width="11.42578125" style="14" bestFit="1" customWidth="1"/>
    <col min="12295" max="12536" width="8.85546875" style="14"/>
    <col min="12537" max="12537" width="6.42578125" style="14" customWidth="1"/>
    <col min="12538" max="12538" width="35.85546875" style="14" customWidth="1"/>
    <col min="12539" max="12539" width="16.42578125" style="14" customWidth="1"/>
    <col min="12540" max="12540" width="5.42578125" style="14" customWidth="1"/>
    <col min="12541" max="12541" width="9.42578125" style="14" customWidth="1"/>
    <col min="12542" max="12542" width="7.42578125" style="14" customWidth="1"/>
    <col min="12543" max="12543" width="6.42578125" style="14" customWidth="1"/>
    <col min="12544" max="12544" width="10.85546875" style="14" customWidth="1"/>
    <col min="12545" max="12545" width="5.42578125" style="14" bestFit="1" customWidth="1"/>
    <col min="12546" max="12546" width="22.42578125" style="14" bestFit="1" customWidth="1"/>
    <col min="12547" max="12547" width="12" style="14" bestFit="1" customWidth="1"/>
    <col min="12548" max="12548" width="10.42578125" style="14" customWidth="1"/>
    <col min="12549" max="12549" width="17.42578125" style="14" bestFit="1" customWidth="1"/>
    <col min="12550" max="12550" width="11.42578125" style="14" bestFit="1" customWidth="1"/>
    <col min="12551" max="12792" width="8.85546875" style="14"/>
    <col min="12793" max="12793" width="6.42578125" style="14" customWidth="1"/>
    <col min="12794" max="12794" width="35.85546875" style="14" customWidth="1"/>
    <col min="12795" max="12795" width="16.42578125" style="14" customWidth="1"/>
    <col min="12796" max="12796" width="5.42578125" style="14" customWidth="1"/>
    <col min="12797" max="12797" width="9.42578125" style="14" customWidth="1"/>
    <col min="12798" max="12798" width="7.42578125" style="14" customWidth="1"/>
    <col min="12799" max="12799" width="6.42578125" style="14" customWidth="1"/>
    <col min="12800" max="12800" width="10.85546875" style="14" customWidth="1"/>
    <col min="12801" max="12801" width="5.42578125" style="14" bestFit="1" customWidth="1"/>
    <col min="12802" max="12802" width="22.42578125" style="14" bestFit="1" customWidth="1"/>
    <col min="12803" max="12803" width="12" style="14" bestFit="1" customWidth="1"/>
    <col min="12804" max="12804" width="10.42578125" style="14" customWidth="1"/>
    <col min="12805" max="12805" width="17.42578125" style="14" bestFit="1" customWidth="1"/>
    <col min="12806" max="12806" width="11.42578125" style="14" bestFit="1" customWidth="1"/>
    <col min="12807" max="13048" width="8.85546875" style="14"/>
    <col min="13049" max="13049" width="6.42578125" style="14" customWidth="1"/>
    <col min="13050" max="13050" width="35.85546875" style="14" customWidth="1"/>
    <col min="13051" max="13051" width="16.42578125" style="14" customWidth="1"/>
    <col min="13052" max="13052" width="5.42578125" style="14" customWidth="1"/>
    <col min="13053" max="13053" width="9.42578125" style="14" customWidth="1"/>
    <col min="13054" max="13054" width="7.42578125" style="14" customWidth="1"/>
    <col min="13055" max="13055" width="6.42578125" style="14" customWidth="1"/>
    <col min="13056" max="13056" width="10.85546875" style="14" customWidth="1"/>
    <col min="13057" max="13057" width="5.42578125" style="14" bestFit="1" customWidth="1"/>
    <col min="13058" max="13058" width="22.42578125" style="14" bestFit="1" customWidth="1"/>
    <col min="13059" max="13059" width="12" style="14" bestFit="1" customWidth="1"/>
    <col min="13060" max="13060" width="10.42578125" style="14" customWidth="1"/>
    <col min="13061" max="13061" width="17.42578125" style="14" bestFit="1" customWidth="1"/>
    <col min="13062" max="13062" width="11.42578125" style="14" bestFit="1" customWidth="1"/>
    <col min="13063" max="13304" width="8.85546875" style="14"/>
    <col min="13305" max="13305" width="6.42578125" style="14" customWidth="1"/>
    <col min="13306" max="13306" width="35.85546875" style="14" customWidth="1"/>
    <col min="13307" max="13307" width="16.42578125" style="14" customWidth="1"/>
    <col min="13308" max="13308" width="5.42578125" style="14" customWidth="1"/>
    <col min="13309" max="13309" width="9.42578125" style="14" customWidth="1"/>
    <col min="13310" max="13310" width="7.42578125" style="14" customWidth="1"/>
    <col min="13311" max="13311" width="6.42578125" style="14" customWidth="1"/>
    <col min="13312" max="13312" width="10.85546875" style="14" customWidth="1"/>
    <col min="13313" max="13313" width="5.42578125" style="14" bestFit="1" customWidth="1"/>
    <col min="13314" max="13314" width="22.42578125" style="14" bestFit="1" customWidth="1"/>
    <col min="13315" max="13315" width="12" style="14" bestFit="1" customWidth="1"/>
    <col min="13316" max="13316" width="10.42578125" style="14" customWidth="1"/>
    <col min="13317" max="13317" width="17.42578125" style="14" bestFit="1" customWidth="1"/>
    <col min="13318" max="13318" width="11.42578125" style="14" bestFit="1" customWidth="1"/>
    <col min="13319" max="13560" width="8.85546875" style="14"/>
    <col min="13561" max="13561" width="6.42578125" style="14" customWidth="1"/>
    <col min="13562" max="13562" width="35.85546875" style="14" customWidth="1"/>
    <col min="13563" max="13563" width="16.42578125" style="14" customWidth="1"/>
    <col min="13564" max="13564" width="5.42578125" style="14" customWidth="1"/>
    <col min="13565" max="13565" width="9.42578125" style="14" customWidth="1"/>
    <col min="13566" max="13566" width="7.42578125" style="14" customWidth="1"/>
    <col min="13567" max="13567" width="6.42578125" style="14" customWidth="1"/>
    <col min="13568" max="13568" width="10.85546875" style="14" customWidth="1"/>
    <col min="13569" max="13569" width="5.42578125" style="14" bestFit="1" customWidth="1"/>
    <col min="13570" max="13570" width="22.42578125" style="14" bestFit="1" customWidth="1"/>
    <col min="13571" max="13571" width="12" style="14" bestFit="1" customWidth="1"/>
    <col min="13572" max="13572" width="10.42578125" style="14" customWidth="1"/>
    <col min="13573" max="13573" width="17.42578125" style="14" bestFit="1" customWidth="1"/>
    <col min="13574" max="13574" width="11.42578125" style="14" bestFit="1" customWidth="1"/>
    <col min="13575" max="13816" width="8.85546875" style="14"/>
    <col min="13817" max="13817" width="6.42578125" style="14" customWidth="1"/>
    <col min="13818" max="13818" width="35.85546875" style="14" customWidth="1"/>
    <col min="13819" max="13819" width="16.42578125" style="14" customWidth="1"/>
    <col min="13820" max="13820" width="5.42578125" style="14" customWidth="1"/>
    <col min="13821" max="13821" width="9.42578125" style="14" customWidth="1"/>
    <col min="13822" max="13822" width="7.42578125" style="14" customWidth="1"/>
    <col min="13823" max="13823" width="6.42578125" style="14" customWidth="1"/>
    <col min="13824" max="13824" width="10.85546875" style="14" customWidth="1"/>
    <col min="13825" max="13825" width="5.42578125" style="14" bestFit="1" customWidth="1"/>
    <col min="13826" max="13826" width="22.42578125" style="14" bestFit="1" customWidth="1"/>
    <col min="13827" max="13827" width="12" style="14" bestFit="1" customWidth="1"/>
    <col min="13828" max="13828" width="10.42578125" style="14" customWidth="1"/>
    <col min="13829" max="13829" width="17.42578125" style="14" bestFit="1" customWidth="1"/>
    <col min="13830" max="13830" width="11.42578125" style="14" bestFit="1" customWidth="1"/>
    <col min="13831" max="14072" width="8.85546875" style="14"/>
    <col min="14073" max="14073" width="6.42578125" style="14" customWidth="1"/>
    <col min="14074" max="14074" width="35.85546875" style="14" customWidth="1"/>
    <col min="14075" max="14075" width="16.42578125" style="14" customWidth="1"/>
    <col min="14076" max="14076" width="5.42578125" style="14" customWidth="1"/>
    <col min="14077" max="14077" width="9.42578125" style="14" customWidth="1"/>
    <col min="14078" max="14078" width="7.42578125" style="14" customWidth="1"/>
    <col min="14079" max="14079" width="6.42578125" style="14" customWidth="1"/>
    <col min="14080" max="14080" width="10.85546875" style="14" customWidth="1"/>
    <col min="14081" max="14081" width="5.42578125" style="14" bestFit="1" customWidth="1"/>
    <col min="14082" max="14082" width="22.42578125" style="14" bestFit="1" customWidth="1"/>
    <col min="14083" max="14083" width="12" style="14" bestFit="1" customWidth="1"/>
    <col min="14084" max="14084" width="10.42578125" style="14" customWidth="1"/>
    <col min="14085" max="14085" width="17.42578125" style="14" bestFit="1" customWidth="1"/>
    <col min="14086" max="14086" width="11.42578125" style="14" bestFit="1" customWidth="1"/>
    <col min="14087" max="14328" width="8.85546875" style="14"/>
    <col min="14329" max="14329" width="6.42578125" style="14" customWidth="1"/>
    <col min="14330" max="14330" width="35.85546875" style="14" customWidth="1"/>
    <col min="14331" max="14331" width="16.42578125" style="14" customWidth="1"/>
    <col min="14332" max="14332" width="5.42578125" style="14" customWidth="1"/>
    <col min="14333" max="14333" width="9.42578125" style="14" customWidth="1"/>
    <col min="14334" max="14334" width="7.42578125" style="14" customWidth="1"/>
    <col min="14335" max="14335" width="6.42578125" style="14" customWidth="1"/>
    <col min="14336" max="14336" width="10.85546875" style="14" customWidth="1"/>
    <col min="14337" max="14337" width="5.42578125" style="14" bestFit="1" customWidth="1"/>
    <col min="14338" max="14338" width="22.42578125" style="14" bestFit="1" customWidth="1"/>
    <col min="14339" max="14339" width="12" style="14" bestFit="1" customWidth="1"/>
    <col min="14340" max="14340" width="10.42578125" style="14" customWidth="1"/>
    <col min="14341" max="14341" width="17.42578125" style="14" bestFit="1" customWidth="1"/>
    <col min="14342" max="14342" width="11.42578125" style="14" bestFit="1" customWidth="1"/>
    <col min="14343" max="14584" width="8.85546875" style="14"/>
    <col min="14585" max="14585" width="6.42578125" style="14" customWidth="1"/>
    <col min="14586" max="14586" width="35.85546875" style="14" customWidth="1"/>
    <col min="14587" max="14587" width="16.42578125" style="14" customWidth="1"/>
    <col min="14588" max="14588" width="5.42578125" style="14" customWidth="1"/>
    <col min="14589" max="14589" width="9.42578125" style="14" customWidth="1"/>
    <col min="14590" max="14590" width="7.42578125" style="14" customWidth="1"/>
    <col min="14591" max="14591" width="6.42578125" style="14" customWidth="1"/>
    <col min="14592" max="14592" width="10.85546875" style="14" customWidth="1"/>
    <col min="14593" max="14593" width="5.42578125" style="14" bestFit="1" customWidth="1"/>
    <col min="14594" max="14594" width="22.42578125" style="14" bestFit="1" customWidth="1"/>
    <col min="14595" max="14595" width="12" style="14" bestFit="1" customWidth="1"/>
    <col min="14596" max="14596" width="10.42578125" style="14" customWidth="1"/>
    <col min="14597" max="14597" width="17.42578125" style="14" bestFit="1" customWidth="1"/>
    <col min="14598" max="14598" width="11.42578125" style="14" bestFit="1" customWidth="1"/>
    <col min="14599" max="14840" width="8.85546875" style="14"/>
    <col min="14841" max="14841" width="6.42578125" style="14" customWidth="1"/>
    <col min="14842" max="14842" width="35.85546875" style="14" customWidth="1"/>
    <col min="14843" max="14843" width="16.42578125" style="14" customWidth="1"/>
    <col min="14844" max="14844" width="5.42578125" style="14" customWidth="1"/>
    <col min="14845" max="14845" width="9.42578125" style="14" customWidth="1"/>
    <col min="14846" max="14846" width="7.42578125" style="14" customWidth="1"/>
    <col min="14847" max="14847" width="6.42578125" style="14" customWidth="1"/>
    <col min="14848" max="14848" width="10.85546875" style="14" customWidth="1"/>
    <col min="14849" max="14849" width="5.42578125" style="14" bestFit="1" customWidth="1"/>
    <col min="14850" max="14850" width="22.42578125" style="14" bestFit="1" customWidth="1"/>
    <col min="14851" max="14851" width="12" style="14" bestFit="1" customWidth="1"/>
    <col min="14852" max="14852" width="10.42578125" style="14" customWidth="1"/>
    <col min="14853" max="14853" width="17.42578125" style="14" bestFit="1" customWidth="1"/>
    <col min="14854" max="14854" width="11.42578125" style="14" bestFit="1" customWidth="1"/>
    <col min="14855" max="15096" width="8.85546875" style="14"/>
    <col min="15097" max="15097" width="6.42578125" style="14" customWidth="1"/>
    <col min="15098" max="15098" width="35.85546875" style="14" customWidth="1"/>
    <col min="15099" max="15099" width="16.42578125" style="14" customWidth="1"/>
    <col min="15100" max="15100" width="5.42578125" style="14" customWidth="1"/>
    <col min="15101" max="15101" width="9.42578125" style="14" customWidth="1"/>
    <col min="15102" max="15102" width="7.42578125" style="14" customWidth="1"/>
    <col min="15103" max="15103" width="6.42578125" style="14" customWidth="1"/>
    <col min="15104" max="15104" width="10.85546875" style="14" customWidth="1"/>
    <col min="15105" max="15105" width="5.42578125" style="14" bestFit="1" customWidth="1"/>
    <col min="15106" max="15106" width="22.42578125" style="14" bestFit="1" customWidth="1"/>
    <col min="15107" max="15107" width="12" style="14" bestFit="1" customWidth="1"/>
    <col min="15108" max="15108" width="10.42578125" style="14" customWidth="1"/>
    <col min="15109" max="15109" width="17.42578125" style="14" bestFit="1" customWidth="1"/>
    <col min="15110" max="15110" width="11.42578125" style="14" bestFit="1" customWidth="1"/>
    <col min="15111" max="15352" width="8.85546875" style="14"/>
    <col min="15353" max="15353" width="6.42578125" style="14" customWidth="1"/>
    <col min="15354" max="15354" width="35.85546875" style="14" customWidth="1"/>
    <col min="15355" max="15355" width="16.42578125" style="14" customWidth="1"/>
    <col min="15356" max="15356" width="5.42578125" style="14" customWidth="1"/>
    <col min="15357" max="15357" width="9.42578125" style="14" customWidth="1"/>
    <col min="15358" max="15358" width="7.42578125" style="14" customWidth="1"/>
    <col min="15359" max="15359" width="6.42578125" style="14" customWidth="1"/>
    <col min="15360" max="15360" width="10.85546875" style="14" customWidth="1"/>
    <col min="15361" max="15361" width="5.42578125" style="14" bestFit="1" customWidth="1"/>
    <col min="15362" max="15362" width="22.42578125" style="14" bestFit="1" customWidth="1"/>
    <col min="15363" max="15363" width="12" style="14" bestFit="1" customWidth="1"/>
    <col min="15364" max="15364" width="10.42578125" style="14" customWidth="1"/>
    <col min="15365" max="15365" width="17.42578125" style="14" bestFit="1" customWidth="1"/>
    <col min="15366" max="15366" width="11.42578125" style="14" bestFit="1" customWidth="1"/>
    <col min="15367" max="15608" width="8.85546875" style="14"/>
    <col min="15609" max="15609" width="6.42578125" style="14" customWidth="1"/>
    <col min="15610" max="15610" width="35.85546875" style="14" customWidth="1"/>
    <col min="15611" max="15611" width="16.42578125" style="14" customWidth="1"/>
    <col min="15612" max="15612" width="5.42578125" style="14" customWidth="1"/>
    <col min="15613" max="15613" width="9.42578125" style="14" customWidth="1"/>
    <col min="15614" max="15614" width="7.42578125" style="14" customWidth="1"/>
    <col min="15615" max="15615" width="6.42578125" style="14" customWidth="1"/>
    <col min="15616" max="15616" width="10.85546875" style="14" customWidth="1"/>
    <col min="15617" max="15617" width="5.42578125" style="14" bestFit="1" customWidth="1"/>
    <col min="15618" max="15618" width="22.42578125" style="14" bestFit="1" customWidth="1"/>
    <col min="15619" max="15619" width="12" style="14" bestFit="1" customWidth="1"/>
    <col min="15620" max="15620" width="10.42578125" style="14" customWidth="1"/>
    <col min="15621" max="15621" width="17.42578125" style="14" bestFit="1" customWidth="1"/>
    <col min="15622" max="15622" width="11.42578125" style="14" bestFit="1" customWidth="1"/>
    <col min="15623" max="15864" width="8.85546875" style="14"/>
    <col min="15865" max="15865" width="6.42578125" style="14" customWidth="1"/>
    <col min="15866" max="15866" width="35.85546875" style="14" customWidth="1"/>
    <col min="15867" max="15867" width="16.42578125" style="14" customWidth="1"/>
    <col min="15868" max="15868" width="5.42578125" style="14" customWidth="1"/>
    <col min="15869" max="15869" width="9.42578125" style="14" customWidth="1"/>
    <col min="15870" max="15870" width="7.42578125" style="14" customWidth="1"/>
    <col min="15871" max="15871" width="6.42578125" style="14" customWidth="1"/>
    <col min="15872" max="15872" width="10.85546875" style="14" customWidth="1"/>
    <col min="15873" max="15873" width="5.42578125" style="14" bestFit="1" customWidth="1"/>
    <col min="15874" max="15874" width="22.42578125" style="14" bestFit="1" customWidth="1"/>
    <col min="15875" max="15875" width="12" style="14" bestFit="1" customWidth="1"/>
    <col min="15876" max="15876" width="10.42578125" style="14" customWidth="1"/>
    <col min="15877" max="15877" width="17.42578125" style="14" bestFit="1" customWidth="1"/>
    <col min="15878" max="15878" width="11.42578125" style="14" bestFit="1" customWidth="1"/>
    <col min="15879" max="16120" width="8.85546875" style="14"/>
    <col min="16121" max="16121" width="6.42578125" style="14" customWidth="1"/>
    <col min="16122" max="16122" width="35.85546875" style="14" customWidth="1"/>
    <col min="16123" max="16123" width="16.42578125" style="14" customWidth="1"/>
    <col min="16124" max="16124" width="5.42578125" style="14" customWidth="1"/>
    <col min="16125" max="16125" width="9.42578125" style="14" customWidth="1"/>
    <col min="16126" max="16126" width="7.42578125" style="14" customWidth="1"/>
    <col min="16127" max="16127" width="6.42578125" style="14" customWidth="1"/>
    <col min="16128" max="16128" width="10.85546875" style="14" customWidth="1"/>
    <col min="16129" max="16129" width="5.42578125" style="14" bestFit="1" customWidth="1"/>
    <col min="16130" max="16130" width="22.42578125" style="14" bestFit="1" customWidth="1"/>
    <col min="16131" max="16131" width="12" style="14" bestFit="1" customWidth="1"/>
    <col min="16132" max="16132" width="10.42578125" style="14" customWidth="1"/>
    <col min="16133" max="16133" width="17.42578125" style="14" bestFit="1" customWidth="1"/>
    <col min="16134" max="16134" width="11.42578125" style="14" bestFit="1" customWidth="1"/>
    <col min="16135" max="16384" width="8.85546875" style="14"/>
  </cols>
  <sheetData>
    <row r="1" spans="1:6" ht="20.25" customHeight="1" x14ac:dyDescent="0.25">
      <c r="A1" s="153" t="s">
        <v>73</v>
      </c>
      <c r="B1" s="153"/>
      <c r="C1" s="153"/>
      <c r="D1" s="153"/>
      <c r="E1" s="153"/>
      <c r="F1" s="153"/>
    </row>
    <row r="2" spans="1:6" ht="20.25" customHeight="1" x14ac:dyDescent="0.25">
      <c r="A2" s="153" t="s">
        <v>74</v>
      </c>
      <c r="B2" s="153"/>
      <c r="C2" s="153"/>
      <c r="D2" s="153"/>
      <c r="E2" s="153"/>
      <c r="F2" s="153"/>
    </row>
    <row r="3" spans="1:6" x14ac:dyDescent="0.25">
      <c r="A3" s="136"/>
      <c r="B3" s="136"/>
      <c r="C3" s="136"/>
      <c r="D3" s="136"/>
      <c r="E3" s="159" t="s">
        <v>51</v>
      </c>
      <c r="F3" s="159"/>
    </row>
    <row r="4" spans="1:6" ht="20.25" customHeight="1" x14ac:dyDescent="0.25">
      <c r="A4" s="154" t="s">
        <v>1</v>
      </c>
      <c r="B4" s="154" t="s">
        <v>16</v>
      </c>
      <c r="C4" s="156" t="s">
        <v>17</v>
      </c>
      <c r="D4" s="157"/>
      <c r="E4" s="158" t="s">
        <v>18</v>
      </c>
      <c r="F4" s="158"/>
    </row>
    <row r="5" spans="1:6" ht="30" customHeight="1" x14ac:dyDescent="0.25">
      <c r="A5" s="155"/>
      <c r="B5" s="155"/>
      <c r="C5" s="137" t="s">
        <v>19</v>
      </c>
      <c r="D5" s="137" t="s">
        <v>20</v>
      </c>
      <c r="E5" s="137" t="s">
        <v>21</v>
      </c>
      <c r="F5" s="137" t="s">
        <v>56</v>
      </c>
    </row>
    <row r="6" spans="1:6" ht="31.5" customHeight="1" x14ac:dyDescent="0.25">
      <c r="A6" s="138">
        <v>1</v>
      </c>
      <c r="B6" s="139" t="s">
        <v>22</v>
      </c>
      <c r="C6" s="140">
        <f>'Chi tiet'!F5</f>
        <v>849747000</v>
      </c>
      <c r="D6" s="140"/>
      <c r="E6" s="141">
        <f>'Chi tiet'!H5</f>
        <v>849747000</v>
      </c>
      <c r="F6" s="140"/>
    </row>
    <row r="7" spans="1:6" ht="47.25" customHeight="1" x14ac:dyDescent="0.25">
      <c r="A7" s="138">
        <v>2</v>
      </c>
      <c r="B7" s="139" t="s">
        <v>40</v>
      </c>
      <c r="C7" s="140">
        <f>'Chi tiet'!F129</f>
        <v>0</v>
      </c>
      <c r="D7" s="140">
        <f>'Chi tiet'!G129</f>
        <v>0</v>
      </c>
      <c r="E7" s="140">
        <f>'Chi tiet'!H129</f>
        <v>0</v>
      </c>
      <c r="F7" s="140">
        <f>'Chi tiet'!I129</f>
        <v>0</v>
      </c>
    </row>
    <row r="8" spans="1:6" ht="31.5" customHeight="1" x14ac:dyDescent="0.25">
      <c r="A8" s="138">
        <v>3</v>
      </c>
      <c r="B8" s="139" t="s">
        <v>42</v>
      </c>
      <c r="C8" s="140">
        <f>'Chi tiet'!F130</f>
        <v>0</v>
      </c>
      <c r="D8" s="140">
        <f>'Chi tiet'!G130</f>
        <v>0</v>
      </c>
      <c r="E8" s="140">
        <f>'Chi tiet'!H130</f>
        <v>0</v>
      </c>
      <c r="F8" s="140">
        <f>'Chi tiet'!I130</f>
        <v>0</v>
      </c>
    </row>
    <row r="9" spans="1:6" ht="31.5" customHeight="1" x14ac:dyDescent="0.25">
      <c r="A9" s="138">
        <v>4</v>
      </c>
      <c r="B9" s="139" t="s">
        <v>43</v>
      </c>
      <c r="C9" s="140">
        <f>'Chi tiet'!F131</f>
        <v>0</v>
      </c>
      <c r="D9" s="140">
        <f>'Chi tiet'!G131</f>
        <v>0</v>
      </c>
      <c r="E9" s="140">
        <f>'Chi tiet'!H131</f>
        <v>0</v>
      </c>
      <c r="F9" s="140">
        <f>'Chi tiet'!I131</f>
        <v>0</v>
      </c>
    </row>
    <row r="10" spans="1:6" ht="31.5" customHeight="1" x14ac:dyDescent="0.25">
      <c r="A10" s="138">
        <v>5</v>
      </c>
      <c r="B10" s="139" t="s">
        <v>44</v>
      </c>
      <c r="C10" s="140">
        <f>'Chi tiet'!F132</f>
        <v>1003000</v>
      </c>
      <c r="D10" s="140">
        <f>'Chi tiet'!G132</f>
        <v>0</v>
      </c>
      <c r="E10" s="140">
        <f>'Chi tiet'!H132</f>
        <v>1003000</v>
      </c>
      <c r="F10" s="140">
        <f>'Chi tiet'!I132</f>
        <v>0</v>
      </c>
    </row>
    <row r="11" spans="1:6" ht="31.5" customHeight="1" x14ac:dyDescent="0.25">
      <c r="A11" s="138">
        <v>6</v>
      </c>
      <c r="B11" s="139" t="s">
        <v>49</v>
      </c>
      <c r="C11" s="140">
        <f>'Chi tiet'!F133</f>
        <v>0</v>
      </c>
      <c r="D11" s="140">
        <f>'Chi tiet'!G133</f>
        <v>0</v>
      </c>
      <c r="E11" s="140">
        <f>'Chi tiet'!H133</f>
        <v>0</v>
      </c>
      <c r="F11" s="140">
        <f>'Chi tiet'!I133</f>
        <v>0</v>
      </c>
    </row>
    <row r="12" spans="1:6" ht="31.5" customHeight="1" x14ac:dyDescent="0.25">
      <c r="A12" s="138">
        <v>7</v>
      </c>
      <c r="B12" s="139" t="s">
        <v>60</v>
      </c>
      <c r="C12" s="140">
        <f>'Chi tiet'!F134</f>
        <v>7250000</v>
      </c>
      <c r="D12" s="140">
        <f>'Chi tiet'!G134</f>
        <v>0</v>
      </c>
      <c r="E12" s="140">
        <f>'Chi tiet'!H134</f>
        <v>7250000</v>
      </c>
      <c r="F12" s="140">
        <f>'Chi tiet'!I134</f>
        <v>0</v>
      </c>
    </row>
    <row r="13" spans="1:6" ht="31.5" customHeight="1" x14ac:dyDescent="0.25">
      <c r="A13" s="138">
        <v>8</v>
      </c>
      <c r="B13" s="139" t="s">
        <v>47</v>
      </c>
      <c r="C13" s="140">
        <f>'Chi tiet'!F142</f>
        <v>0</v>
      </c>
      <c r="D13" s="140">
        <f>'Chi tiet'!G142</f>
        <v>0</v>
      </c>
      <c r="E13" s="140">
        <f>'Chi tiet'!H142</f>
        <v>0</v>
      </c>
      <c r="F13" s="140">
        <f>'Chi tiet'!I142</f>
        <v>0</v>
      </c>
    </row>
    <row r="14" spans="1:6" ht="31.5" customHeight="1" x14ac:dyDescent="0.25">
      <c r="A14" s="138">
        <v>9</v>
      </c>
      <c r="B14" s="64" t="s">
        <v>45</v>
      </c>
      <c r="C14" s="140">
        <f>'Chi tiet'!F143</f>
        <v>0</v>
      </c>
      <c r="D14" s="140">
        <f>'Chi tiet'!G143</f>
        <v>0</v>
      </c>
      <c r="E14" s="140">
        <f>'Chi tiet'!H143</f>
        <v>0</v>
      </c>
      <c r="F14" s="140">
        <f>'Chi tiet'!I143</f>
        <v>0</v>
      </c>
    </row>
    <row r="15" spans="1:6" ht="31.5" customHeight="1" x14ac:dyDescent="0.25">
      <c r="A15" s="138">
        <v>10</v>
      </c>
      <c r="B15" s="64" t="s">
        <v>46</v>
      </c>
      <c r="C15" s="140">
        <f>'Chi tiet'!F144</f>
        <v>0</v>
      </c>
      <c r="D15" s="140">
        <f>'Chi tiet'!G144</f>
        <v>0</v>
      </c>
      <c r="E15" s="140">
        <f>'Chi tiet'!H144</f>
        <v>0</v>
      </c>
      <c r="F15" s="140">
        <f>'Chi tiet'!I144</f>
        <v>0</v>
      </c>
    </row>
    <row r="16" spans="1:6" ht="31.5" customHeight="1" x14ac:dyDescent="0.25">
      <c r="A16" s="138">
        <v>11</v>
      </c>
      <c r="B16" s="139" t="s">
        <v>41</v>
      </c>
      <c r="C16" s="140">
        <f>'Chi tiet'!F145</f>
        <v>0</v>
      </c>
      <c r="D16" s="140">
        <f>'Chi tiet'!G145</f>
        <v>0</v>
      </c>
      <c r="E16" s="140">
        <f>'Chi tiet'!H145</f>
        <v>0</v>
      </c>
      <c r="F16" s="140">
        <f>'Chi tiet'!I145</f>
        <v>0</v>
      </c>
    </row>
    <row r="17" spans="1:8" ht="31.5" customHeight="1" x14ac:dyDescent="0.25">
      <c r="A17" s="138">
        <v>12</v>
      </c>
      <c r="B17" s="139" t="s">
        <v>9</v>
      </c>
      <c r="C17" s="80">
        <f>'Chi tiet'!F147</f>
        <v>42000000</v>
      </c>
      <c r="D17" s="140">
        <f>'Chi tiet'!G145</f>
        <v>0</v>
      </c>
      <c r="E17" s="80">
        <f>'Chi tiet'!H147</f>
        <v>42000000</v>
      </c>
      <c r="F17" s="140">
        <f>'Chi tiet'!I145</f>
        <v>0</v>
      </c>
    </row>
    <row r="18" spans="1:8" ht="31.5" customHeight="1" x14ac:dyDescent="0.25">
      <c r="A18" s="138"/>
      <c r="B18" s="142" t="s">
        <v>0</v>
      </c>
      <c r="C18" s="143">
        <f>ROUNDDOWN(SUM(C6:C17),-3)</f>
        <v>900000000</v>
      </c>
      <c r="D18" s="143">
        <f>SUM(D7:D17)</f>
        <v>0</v>
      </c>
      <c r="E18" s="143">
        <f>ROUNDDOWN(SUM(E6:E17),-3)</f>
        <v>900000000</v>
      </c>
      <c r="F18" s="143">
        <f>SUM(F7:F17)</f>
        <v>0</v>
      </c>
    </row>
    <row r="19" spans="1:8" ht="31.5" customHeight="1" x14ac:dyDescent="0.25">
      <c r="B19" s="13"/>
      <c r="C19" s="13"/>
      <c r="D19" s="13"/>
      <c r="E19" s="13"/>
      <c r="F19" s="13"/>
    </row>
    <row r="20" spans="1:8" ht="24.75" customHeight="1" x14ac:dyDescent="0.25">
      <c r="A20" s="13" t="s">
        <v>75</v>
      </c>
      <c r="B20" s="13"/>
      <c r="C20" s="13"/>
      <c r="D20" s="13"/>
      <c r="E20" s="13"/>
      <c r="F20" s="13"/>
    </row>
    <row r="21" spans="1:8" ht="20.25" customHeight="1" x14ac:dyDescent="0.25">
      <c r="B21" s="13"/>
      <c r="C21" s="13"/>
      <c r="D21" s="13"/>
      <c r="E21" s="13"/>
      <c r="F21" s="13"/>
    </row>
    <row r="22" spans="1:8" ht="31.5" customHeight="1" x14ac:dyDescent="0.25">
      <c r="B22" s="5" t="s">
        <v>36</v>
      </c>
      <c r="C22" s="5" t="s">
        <v>61</v>
      </c>
      <c r="D22" s="5" t="s">
        <v>62</v>
      </c>
      <c r="E22" s="5" t="s">
        <v>63</v>
      </c>
      <c r="F22" s="13"/>
    </row>
    <row r="23" spans="1:8" x14ac:dyDescent="0.25">
      <c r="B23" s="144" t="s">
        <v>37</v>
      </c>
      <c r="C23" s="145">
        <f>E18/2</f>
        <v>450000000</v>
      </c>
      <c r="D23" s="145">
        <f>E18*0.4</f>
        <v>360000000</v>
      </c>
      <c r="E23" s="145">
        <f>E18-(C23+D23)</f>
        <v>90000000</v>
      </c>
      <c r="F23" s="13"/>
    </row>
    <row r="24" spans="1:8" x14ac:dyDescent="0.25">
      <c r="B24" s="144" t="s">
        <v>38</v>
      </c>
      <c r="C24" s="145">
        <f>F18</f>
        <v>0</v>
      </c>
      <c r="D24" s="145"/>
      <c r="E24" s="145"/>
      <c r="F24" s="13"/>
    </row>
    <row r="25" spans="1:8" ht="19.5" customHeight="1" x14ac:dyDescent="0.25">
      <c r="B25" s="5" t="s">
        <v>0</v>
      </c>
      <c r="C25" s="146">
        <f>SUM(C23:C24)</f>
        <v>450000000</v>
      </c>
      <c r="D25" s="146">
        <f t="shared" ref="D25:E25" si="0">SUM(D23:D24)</f>
        <v>360000000</v>
      </c>
      <c r="E25" s="146">
        <f t="shared" si="0"/>
        <v>90000000</v>
      </c>
      <c r="F25" s="13"/>
    </row>
    <row r="26" spans="1:8" ht="19.5" customHeight="1" x14ac:dyDescent="0.25">
      <c r="B26" s="13"/>
      <c r="C26" s="13"/>
      <c r="D26" s="13"/>
      <c r="E26" s="13"/>
      <c r="F26" s="13"/>
    </row>
    <row r="27" spans="1:8" ht="19.5" customHeight="1" x14ac:dyDescent="0.25">
      <c r="A27" s="13" t="s">
        <v>114</v>
      </c>
    </row>
    <row r="28" spans="1:8" ht="18.75" customHeight="1" x14ac:dyDescent="0.25">
      <c r="A28" s="15" t="s">
        <v>115</v>
      </c>
      <c r="B28" s="14" t="s">
        <v>116</v>
      </c>
      <c r="D28" s="16">
        <f>E18/(C18+D18)</f>
        <v>1</v>
      </c>
    </row>
    <row r="29" spans="1:8" ht="15.75" customHeight="1" x14ac:dyDescent="0.25">
      <c r="A29" s="15" t="s">
        <v>117</v>
      </c>
      <c r="B29" s="14" t="s">
        <v>118</v>
      </c>
      <c r="D29" s="16">
        <f>F18/(C18+D18)</f>
        <v>0</v>
      </c>
    </row>
    <row r="30" spans="1:8" ht="37.5" customHeight="1" x14ac:dyDescent="0.25"/>
    <row r="31" spans="1:8" ht="28.5" customHeight="1" x14ac:dyDescent="0.25"/>
    <row r="32" spans="1:8" ht="34.5" customHeight="1" x14ac:dyDescent="0.25">
      <c r="A32" s="147"/>
      <c r="B32" s="147"/>
      <c r="C32" s="147"/>
      <c r="D32" s="147"/>
      <c r="E32" s="147"/>
      <c r="F32" s="147"/>
      <c r="H32" s="148"/>
    </row>
    <row r="33" spans="1:10" ht="30" customHeight="1" x14ac:dyDescent="0.25">
      <c r="A33" s="147"/>
      <c r="B33" s="147"/>
      <c r="C33" s="147"/>
      <c r="D33" s="147"/>
      <c r="E33" s="147"/>
      <c r="F33" s="147"/>
      <c r="H33" s="148"/>
    </row>
    <row r="34" spans="1:10" ht="23.25" customHeight="1" x14ac:dyDescent="0.25">
      <c r="G34" s="149"/>
      <c r="H34" s="148"/>
    </row>
    <row r="35" spans="1:10" x14ac:dyDescent="0.25">
      <c r="J35" s="148"/>
    </row>
    <row r="36" spans="1:10" x14ac:dyDescent="0.25">
      <c r="J36" s="148"/>
    </row>
    <row r="37" spans="1:10" x14ac:dyDescent="0.25">
      <c r="J37" s="148"/>
    </row>
    <row r="38" spans="1:10" x14ac:dyDescent="0.25">
      <c r="J38" s="148"/>
    </row>
    <row r="39" spans="1:10" x14ac:dyDescent="0.25">
      <c r="J39" s="148"/>
    </row>
    <row r="40" spans="1:10" x14ac:dyDescent="0.25">
      <c r="J40" s="148"/>
    </row>
    <row r="41" spans="1:10" x14ac:dyDescent="0.25">
      <c r="J41" s="148"/>
    </row>
    <row r="42" spans="1:10" x14ac:dyDescent="0.25">
      <c r="J42" s="148"/>
    </row>
    <row r="43" spans="1:10" ht="20.25" customHeight="1" x14ac:dyDescent="0.25"/>
    <row r="44" spans="1:10" ht="45" hidden="1" customHeight="1" x14ac:dyDescent="0.25">
      <c r="E44" s="109"/>
    </row>
    <row r="45" spans="1:10" ht="39" hidden="1" customHeight="1" x14ac:dyDescent="0.25"/>
    <row r="46" spans="1:10" ht="20.25" customHeight="1" x14ac:dyDescent="0.25"/>
    <row r="47" spans="1:10" ht="20.25" customHeight="1" x14ac:dyDescent="0.25"/>
    <row r="48" spans="1:10" s="147" customFormat="1" x14ac:dyDescent="0.25">
      <c r="A48" s="14"/>
      <c r="B48" s="14"/>
      <c r="C48" s="14"/>
      <c r="D48" s="14"/>
      <c r="E48" s="14"/>
      <c r="F48" s="14"/>
    </row>
    <row r="49" spans="1:6" s="147" customFormat="1" x14ac:dyDescent="0.25">
      <c r="A49" s="14"/>
      <c r="B49" s="14"/>
      <c r="C49" s="14"/>
      <c r="D49" s="14"/>
      <c r="E49" s="14"/>
      <c r="F49" s="14"/>
    </row>
    <row r="50" spans="1:6" ht="15.75" customHeight="1" x14ac:dyDescent="0.25"/>
    <row r="51" spans="1:6" ht="20.25" customHeight="1" x14ac:dyDescent="0.25"/>
    <row r="52" spans="1:6" ht="20.25" customHeight="1" x14ac:dyDescent="0.25"/>
    <row r="53" spans="1:6" ht="20.25" customHeight="1" x14ac:dyDescent="0.25"/>
    <row r="54" spans="1:6" ht="20.25" customHeight="1" x14ac:dyDescent="0.25"/>
    <row r="55" spans="1:6" ht="20.25" customHeight="1" x14ac:dyDescent="0.25"/>
    <row r="56" spans="1:6" ht="20.25" customHeight="1" x14ac:dyDescent="0.25"/>
    <row r="57" spans="1:6" ht="20.25" customHeight="1" x14ac:dyDescent="0.25"/>
    <row r="58" spans="1:6" ht="20.25" customHeight="1" x14ac:dyDescent="0.25"/>
    <row r="59" spans="1:6" ht="20.25" customHeight="1" x14ac:dyDescent="0.25"/>
    <row r="60" spans="1:6" ht="20.25" customHeight="1" x14ac:dyDescent="0.25"/>
    <row r="61" spans="1:6" ht="20.25" customHeight="1" x14ac:dyDescent="0.25"/>
    <row r="62" spans="1:6" ht="20.25" customHeight="1" x14ac:dyDescent="0.25"/>
    <row r="63" spans="1:6" ht="20.25" customHeight="1" x14ac:dyDescent="0.25"/>
    <row r="64" spans="1:6" ht="20.25" customHeight="1" x14ac:dyDescent="0.25"/>
    <row r="65" ht="20.25" customHeight="1" x14ac:dyDescent="0.25"/>
    <row r="67" ht="20.25" customHeight="1" x14ac:dyDescent="0.25"/>
    <row r="68" ht="20.25" customHeight="1" x14ac:dyDescent="0.25"/>
    <row r="69" ht="20.25" customHeight="1" x14ac:dyDescent="0.25"/>
    <row r="70" ht="20.25" customHeight="1" x14ac:dyDescent="0.25"/>
    <row r="71" ht="20.25" customHeight="1" x14ac:dyDescent="0.25"/>
    <row r="72" ht="20.25" customHeight="1" x14ac:dyDescent="0.25"/>
    <row r="73" ht="20.25" customHeight="1" x14ac:dyDescent="0.25"/>
    <row r="74" ht="20.25" customHeight="1" x14ac:dyDescent="0.25"/>
    <row r="75" ht="20.25" customHeight="1" x14ac:dyDescent="0.25"/>
    <row r="76" ht="20.25" customHeight="1" x14ac:dyDescent="0.25"/>
    <row r="77" ht="20.25" customHeight="1" x14ac:dyDescent="0.25"/>
    <row r="78" ht="20.25" customHeight="1" x14ac:dyDescent="0.25"/>
    <row r="79" ht="20.25" customHeight="1" x14ac:dyDescent="0.25"/>
    <row r="80" ht="20.25" customHeight="1" x14ac:dyDescent="0.25"/>
    <row r="81" ht="20.25" customHeight="1" x14ac:dyDescent="0.25"/>
    <row r="82" ht="20.25" customHeight="1" x14ac:dyDescent="0.25"/>
    <row r="83" ht="20.25" customHeight="1" x14ac:dyDescent="0.25"/>
    <row r="84" ht="20.25" customHeight="1" x14ac:dyDescent="0.25"/>
    <row r="85" ht="20.25" customHeight="1" x14ac:dyDescent="0.25"/>
    <row r="86" ht="20.25" customHeight="1" x14ac:dyDescent="0.25"/>
    <row r="87" ht="20.25" customHeight="1" x14ac:dyDescent="0.25"/>
    <row r="88" ht="20.25" customHeight="1" x14ac:dyDescent="0.25"/>
    <row r="89" ht="20.25" customHeight="1" x14ac:dyDescent="0.25"/>
    <row r="95" ht="20.25" customHeight="1" x14ac:dyDescent="0.25"/>
    <row r="96" ht="33.75" customHeight="1" x14ac:dyDescent="0.25"/>
    <row r="97" ht="16.5" customHeight="1" x14ac:dyDescent="0.25"/>
    <row r="98" ht="16.5" customHeight="1" x14ac:dyDescent="0.25"/>
    <row r="100" ht="20.25" customHeight="1" x14ac:dyDescent="0.25"/>
    <row r="102" ht="41.25" customHeight="1" x14ac:dyDescent="0.25"/>
    <row r="104" ht="20.25" customHeight="1" x14ac:dyDescent="0.25"/>
    <row r="106" ht="20.25" customHeight="1" x14ac:dyDescent="0.25"/>
    <row r="107" ht="20.25" customHeight="1" x14ac:dyDescent="0.25"/>
    <row r="108" ht="20.25" customHeight="1" x14ac:dyDescent="0.25"/>
    <row r="109" ht="20.25" customHeight="1" x14ac:dyDescent="0.25"/>
    <row r="110" ht="20.25" customHeight="1" x14ac:dyDescent="0.25"/>
    <row r="111" ht="33" customHeight="1" x14ac:dyDescent="0.25"/>
    <row r="112" ht="20.25" customHeight="1" x14ac:dyDescent="0.25"/>
    <row r="113" ht="20.25" customHeight="1" x14ac:dyDescent="0.25"/>
    <row r="114" ht="20.25" customHeight="1" x14ac:dyDescent="0.25"/>
    <row r="115" ht="20.25" customHeight="1" x14ac:dyDescent="0.25"/>
    <row r="116" ht="20.25" customHeight="1" x14ac:dyDescent="0.25"/>
    <row r="117" ht="20.25" customHeight="1" x14ac:dyDescent="0.25"/>
    <row r="131" ht="20.25" customHeight="1" x14ac:dyDescent="0.25"/>
    <row r="132" ht="20.25" customHeight="1" x14ac:dyDescent="0.25"/>
    <row r="133" ht="20.25" customHeight="1" x14ac:dyDescent="0.25"/>
    <row r="134" ht="20.25" customHeight="1" x14ac:dyDescent="0.25"/>
    <row r="135" ht="20.25" customHeight="1" x14ac:dyDescent="0.25"/>
    <row r="136" ht="20.25" customHeight="1" x14ac:dyDescent="0.25"/>
    <row r="137" ht="22.5" customHeight="1" x14ac:dyDescent="0.25"/>
  </sheetData>
  <mergeCells count="7">
    <mergeCell ref="A1:F1"/>
    <mergeCell ref="A2:F2"/>
    <mergeCell ref="A4:A5"/>
    <mergeCell ref="B4:B5"/>
    <mergeCell ref="C4:D4"/>
    <mergeCell ref="E4:F4"/>
    <mergeCell ref="E3:F3"/>
  </mergeCells>
  <pageMargins left="0.6692913385826772" right="0.31496062992125984" top="0.74803149606299213" bottom="0.35433070866141736" header="0.31496062992125984" footer="0.31496062992125984"/>
  <pageSetup paperSize="9" fitToHeight="0"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F25" sqref="F25"/>
    </sheetView>
  </sheetViews>
  <sheetFormatPr defaultColWidth="9.140625" defaultRowHeight="15.75" x14ac:dyDescent="0.25"/>
  <cols>
    <col min="1" max="1" width="9.140625" style="23"/>
    <col min="2" max="2" width="23.28515625" style="23" customWidth="1"/>
    <col min="3" max="4" width="12.42578125" style="23" customWidth="1"/>
    <col min="5" max="5" width="11.42578125" style="23" customWidth="1"/>
    <col min="6" max="6" width="14.7109375" style="23" customWidth="1"/>
    <col min="7" max="16384" width="9.140625" style="23"/>
  </cols>
  <sheetData>
    <row r="1" spans="1:6" x14ac:dyDescent="0.25">
      <c r="A1" s="6" t="s">
        <v>119</v>
      </c>
      <c r="B1" s="3"/>
      <c r="C1" s="3"/>
      <c r="D1" s="3"/>
      <c r="E1" s="3"/>
      <c r="F1" s="3"/>
    </row>
    <row r="2" spans="1:6" x14ac:dyDescent="0.25">
      <c r="A2" s="1"/>
      <c r="B2" s="3" t="s">
        <v>23</v>
      </c>
      <c r="C2" s="3"/>
      <c r="D2" s="3"/>
      <c r="E2" s="3"/>
      <c r="F2" s="3"/>
    </row>
    <row r="3" spans="1:6" x14ac:dyDescent="0.25">
      <c r="A3" s="1"/>
      <c r="B3" s="2"/>
      <c r="C3" s="2"/>
      <c r="D3" s="2"/>
      <c r="E3" s="2"/>
      <c r="F3" s="4"/>
    </row>
    <row r="4" spans="1:6" ht="33.75" customHeight="1" x14ac:dyDescent="0.25">
      <c r="A4" s="8" t="s">
        <v>1</v>
      </c>
      <c r="B4" s="5" t="s">
        <v>24</v>
      </c>
      <c r="C4" s="5" t="s">
        <v>5</v>
      </c>
      <c r="D4" s="5" t="s">
        <v>25</v>
      </c>
      <c r="E4" s="5" t="s">
        <v>26</v>
      </c>
      <c r="F4" s="5" t="s">
        <v>27</v>
      </c>
    </row>
    <row r="5" spans="1:6" ht="24.75" customHeight="1" x14ac:dyDescent="0.25">
      <c r="A5" s="121" t="s">
        <v>33</v>
      </c>
      <c r="B5" s="122" t="s">
        <v>34</v>
      </c>
      <c r="C5" s="123"/>
      <c r="D5" s="124"/>
      <c r="E5" s="124"/>
      <c r="F5" s="125">
        <f>(SUM(F6:F13))</f>
        <v>849747000</v>
      </c>
    </row>
    <row r="6" spans="1:6" ht="25.5" customHeight="1" x14ac:dyDescent="0.25">
      <c r="A6" s="97">
        <v>1</v>
      </c>
      <c r="B6" s="69" t="s">
        <v>126</v>
      </c>
      <c r="C6" s="97" t="s">
        <v>105</v>
      </c>
      <c r="D6" s="126">
        <f>SUMIF('Chi tiet'!$B$6:$B$128,'Tong hop tien cong'!B6,'Chi tiet'!$D$6:$D$128)</f>
        <v>255</v>
      </c>
      <c r="E6" s="127">
        <v>0.79</v>
      </c>
      <c r="F6" s="80">
        <f t="shared" ref="F6:F13" si="0">(+D6*E6*1490000)</f>
        <v>300160500</v>
      </c>
    </row>
    <row r="7" spans="1:6" ht="25.5" customHeight="1" x14ac:dyDescent="0.25">
      <c r="A7" s="97">
        <v>2</v>
      </c>
      <c r="B7" s="69" t="s">
        <v>152</v>
      </c>
      <c r="C7" s="97" t="s">
        <v>157</v>
      </c>
      <c r="D7" s="126">
        <f>SUMIF('Chi tiet'!$B$6:$B$128,'Tong hop tien cong'!B7,'Chi tiet'!$D$6:$D$128)</f>
        <v>80</v>
      </c>
      <c r="E7" s="127">
        <v>0.49</v>
      </c>
      <c r="F7" s="80">
        <f t="shared" si="0"/>
        <v>58408000.000000007</v>
      </c>
    </row>
    <row r="8" spans="1:6" ht="25.5" customHeight="1" x14ac:dyDescent="0.25">
      <c r="A8" s="97">
        <v>3</v>
      </c>
      <c r="B8" s="69" t="s">
        <v>127</v>
      </c>
      <c r="C8" s="97" t="s">
        <v>28</v>
      </c>
      <c r="D8" s="126">
        <f>SUMIF('Chi tiet'!$B$6:$B$128,'Tong hop tien cong'!B8,'Chi tiet'!$D$6:$D$128)</f>
        <v>215</v>
      </c>
      <c r="E8" s="127">
        <v>0.49</v>
      </c>
      <c r="F8" s="80">
        <f t="shared" si="0"/>
        <v>156971500</v>
      </c>
    </row>
    <row r="9" spans="1:6" ht="25.5" customHeight="1" x14ac:dyDescent="0.25">
      <c r="A9" s="97">
        <v>4</v>
      </c>
      <c r="B9" s="98" t="s">
        <v>150</v>
      </c>
      <c r="C9" s="97" t="s">
        <v>28</v>
      </c>
      <c r="D9" s="126">
        <f>SUMIF('Chi tiet'!$B$6:$B$128,'Tong hop tien cong'!B9,'Chi tiet'!$D$6:$D$128)</f>
        <v>149</v>
      </c>
      <c r="E9" s="127">
        <v>0.49</v>
      </c>
      <c r="F9" s="80">
        <f t="shared" si="0"/>
        <v>108784900.00000001</v>
      </c>
    </row>
    <row r="10" spans="1:6" ht="25.5" customHeight="1" x14ac:dyDescent="0.25">
      <c r="A10" s="97">
        <v>5</v>
      </c>
      <c r="B10" s="98" t="s">
        <v>155</v>
      </c>
      <c r="C10" s="97" t="s">
        <v>28</v>
      </c>
      <c r="D10" s="126">
        <f>SUMIF('Chi tiet'!$B$6:$B$128,'Tong hop tien cong'!B10,'Chi tiet'!$D$6:$D$128)</f>
        <v>141</v>
      </c>
      <c r="E10" s="127">
        <v>0.49</v>
      </c>
      <c r="F10" s="80">
        <f>(+D10*E10*1490000)</f>
        <v>102944100</v>
      </c>
    </row>
    <row r="11" spans="1:6" ht="25.5" customHeight="1" x14ac:dyDescent="0.25">
      <c r="A11" s="97">
        <v>6</v>
      </c>
      <c r="B11" s="98" t="s">
        <v>151</v>
      </c>
      <c r="C11" s="97" t="s">
        <v>156</v>
      </c>
      <c r="D11" s="126">
        <f>SUMIF('Chi tiet'!$B$6:$B$128,'Tong hop tien cong'!B11,'Chi tiet'!$D$6:$D$128)</f>
        <v>142</v>
      </c>
      <c r="E11" s="127">
        <v>0.25</v>
      </c>
      <c r="F11" s="80">
        <f>(+D11*E11*1490000)</f>
        <v>52895000</v>
      </c>
    </row>
    <row r="12" spans="1:6" ht="25.5" customHeight="1" x14ac:dyDescent="0.25">
      <c r="A12" s="97">
        <v>7</v>
      </c>
      <c r="B12" s="98" t="s">
        <v>154</v>
      </c>
      <c r="C12" s="97" t="s">
        <v>28</v>
      </c>
      <c r="D12" s="126">
        <f>SUMIF('Chi tiet'!$B$6:$B$128,'Tong hop tien cong'!B12,'Chi tiet'!$D$6:$D$128)</f>
        <v>55</v>
      </c>
      <c r="E12" s="127">
        <v>0.49</v>
      </c>
      <c r="F12" s="80">
        <f t="shared" ref="F12" si="1">(+D12*E12*1490000)</f>
        <v>40155500</v>
      </c>
    </row>
    <row r="13" spans="1:6" ht="25.5" customHeight="1" x14ac:dyDescent="0.25">
      <c r="A13" s="97">
        <v>8</v>
      </c>
      <c r="B13" s="69" t="s">
        <v>153</v>
      </c>
      <c r="C13" s="97" t="s">
        <v>156</v>
      </c>
      <c r="D13" s="126">
        <f>SUMIF('Chi tiet'!$B$6:$B$128,'Tong hop tien cong'!B13,'Chi tiet'!$D$6:$D$128)</f>
        <v>79</v>
      </c>
      <c r="E13" s="127">
        <v>0.25</v>
      </c>
      <c r="F13" s="80">
        <f t="shared" si="0"/>
        <v>29427500</v>
      </c>
    </row>
    <row r="14" spans="1:6" s="6" customFormat="1" ht="26.25" customHeight="1" x14ac:dyDescent="0.25">
      <c r="A14" s="128" t="s">
        <v>35</v>
      </c>
      <c r="B14" s="129" t="s">
        <v>39</v>
      </c>
      <c r="C14" s="130"/>
      <c r="D14" s="131"/>
      <c r="E14" s="131"/>
      <c r="F14" s="132">
        <v>0</v>
      </c>
    </row>
    <row r="15" spans="1:6" ht="23.25" customHeight="1" x14ac:dyDescent="0.25">
      <c r="A15" s="104"/>
      <c r="B15" s="133" t="s">
        <v>0</v>
      </c>
      <c r="C15" s="134"/>
      <c r="D15" s="135">
        <f>SUM(D6:D14)</f>
        <v>1116</v>
      </c>
      <c r="E15" s="135"/>
      <c r="F15" s="135">
        <f>+F14+F5</f>
        <v>849747000</v>
      </c>
    </row>
    <row r="21" spans="3:3" x14ac:dyDescent="0.25">
      <c r="C21" s="126">
        <f>SUMIF('Chi tiet'!$B$6:$B$128,'Tong hop tien cong'!A21,'Chi tiet'!$D$6:$D$128)</f>
        <v>0</v>
      </c>
    </row>
  </sheetData>
  <conditionalFormatting sqref="B13 B6:B8">
    <cfRule type="containsText" dxfId="722" priority="16" stopIfTrue="1" operator="containsText" text="Thành viên chính">
      <formula>NOT(ISERROR(SEARCH("Thành viên chính",B6)))</formula>
    </cfRule>
    <cfRule type="containsText" dxfId="721" priority="17" stopIfTrue="1" operator="containsText" text="Thư ký khoa học">
      <formula>NOT(ISERROR(SEARCH("Thư ký khoa học",B6)))</formula>
    </cfRule>
    <cfRule type="containsText" dxfId="720" priority="18" stopIfTrue="1" operator="containsText" text="Chủ nhiệm đề tài">
      <formula>NOT(ISERROR(SEARCH("Chủ nhiệm đề tài",B6)))</formula>
    </cfRule>
  </conditionalFormatting>
  <conditionalFormatting sqref="E6:E9 E13">
    <cfRule type="containsText" dxfId="719" priority="4" stopIfTrue="1" operator="containsText" text="Thành viên chính">
      <formula>NOT(ISERROR(SEARCH("Thành viên chính",E6)))</formula>
    </cfRule>
    <cfRule type="containsText" dxfId="718" priority="5" stopIfTrue="1" operator="containsText" text="Thư ký khoa học">
      <formula>NOT(ISERROR(SEARCH("Thư ký khoa học",E6)))</formula>
    </cfRule>
    <cfRule type="containsText" dxfId="717" priority="6" stopIfTrue="1" operator="containsText" text="Chủ nhiệm đề tài">
      <formula>NOT(ISERROR(SEARCH("Chủ nhiệm đề tài",E6)))</formula>
    </cfRule>
  </conditionalFormatting>
  <conditionalFormatting sqref="E10:E12">
    <cfRule type="containsText" dxfId="716" priority="1" stopIfTrue="1" operator="containsText" text="Thành viên chính">
      <formula>NOT(ISERROR(SEARCH("Thành viên chính",E10)))</formula>
    </cfRule>
    <cfRule type="containsText" dxfId="715" priority="2" stopIfTrue="1" operator="containsText" text="Thư ký khoa học">
      <formula>NOT(ISERROR(SEARCH("Thư ký khoa học",E10)))</formula>
    </cfRule>
    <cfRule type="containsText" dxfId="714" priority="3" stopIfTrue="1" operator="containsText" text="Chủ nhiệm đề tài">
      <formula>NOT(ISERROR(SEARCH("Chủ nhiệm đề tài",E10)))</formula>
    </cfRule>
  </conditionalFormatting>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9"/>
  <sheetViews>
    <sheetView tabSelected="1" topLeftCell="A130" zoomScale="125" zoomScaleNormal="190" workbookViewId="0">
      <selection activeCell="B9" sqref="B9"/>
    </sheetView>
  </sheetViews>
  <sheetFormatPr defaultColWidth="9.140625" defaultRowHeight="15.75" x14ac:dyDescent="0.25"/>
  <cols>
    <col min="1" max="1" width="7.28515625" style="114" customWidth="1"/>
    <col min="2" max="2" width="28.7109375" style="23" customWidth="1"/>
    <col min="3" max="3" width="9" style="23" customWidth="1"/>
    <col min="4" max="4" width="11.42578125" style="23" customWidth="1"/>
    <col min="5" max="5" width="11.28515625" style="23" customWidth="1"/>
    <col min="6" max="6" width="13.42578125" style="23" customWidth="1"/>
    <col min="7" max="7" width="7.42578125" style="23" customWidth="1"/>
    <col min="8" max="8" width="18.28515625" style="23" customWidth="1"/>
    <col min="9" max="9" width="8.7109375" style="14" customWidth="1"/>
    <col min="10" max="10" width="9.140625" style="23"/>
    <col min="11" max="11" width="9.42578125" style="23" bestFit="1" customWidth="1"/>
    <col min="12" max="12" width="10.7109375" style="23" customWidth="1"/>
    <col min="13" max="13" width="11.140625" style="23" bestFit="1" customWidth="1"/>
    <col min="14" max="14" width="20.85546875" style="23" customWidth="1"/>
    <col min="15" max="15" width="13.85546875" style="23" bestFit="1" customWidth="1"/>
    <col min="16" max="17" width="12.7109375" style="23" bestFit="1" customWidth="1"/>
    <col min="18" max="16384" width="9.140625" style="23"/>
  </cols>
  <sheetData>
    <row r="1" spans="1:19" x14ac:dyDescent="0.25">
      <c r="A1" s="160" t="s">
        <v>76</v>
      </c>
      <c r="B1" s="160"/>
      <c r="C1" s="160"/>
      <c r="D1" s="160"/>
      <c r="E1" s="160"/>
      <c r="F1" s="160"/>
      <c r="G1" s="160"/>
      <c r="H1" s="160"/>
      <c r="I1" s="160"/>
    </row>
    <row r="2" spans="1:19" ht="27.75" customHeight="1" x14ac:dyDescent="0.25">
      <c r="A2" s="24"/>
      <c r="B2" s="14"/>
      <c r="C2" s="25"/>
      <c r="D2" s="14"/>
      <c r="E2" s="14"/>
      <c r="F2" s="174" t="s">
        <v>109</v>
      </c>
      <c r="G2" s="174"/>
      <c r="H2" s="174"/>
      <c r="I2" s="174"/>
    </row>
    <row r="3" spans="1:19" ht="32.85" customHeight="1" x14ac:dyDescent="0.25">
      <c r="A3" s="170" t="s">
        <v>1</v>
      </c>
      <c r="B3" s="171" t="s">
        <v>2</v>
      </c>
      <c r="C3" s="171" t="s">
        <v>3</v>
      </c>
      <c r="D3" s="171" t="s">
        <v>6</v>
      </c>
      <c r="E3" s="171" t="s">
        <v>58</v>
      </c>
      <c r="F3" s="172" t="s">
        <v>54</v>
      </c>
      <c r="G3" s="173"/>
      <c r="H3" s="168" t="s">
        <v>57</v>
      </c>
      <c r="I3" s="168"/>
    </row>
    <row r="4" spans="1:19" ht="38.25" customHeight="1" x14ac:dyDescent="0.25">
      <c r="A4" s="170"/>
      <c r="B4" s="171"/>
      <c r="C4" s="171"/>
      <c r="D4" s="171"/>
      <c r="E4" s="171"/>
      <c r="F4" s="26" t="s">
        <v>59</v>
      </c>
      <c r="G4" s="27" t="s">
        <v>20</v>
      </c>
      <c r="H4" s="26" t="s">
        <v>55</v>
      </c>
      <c r="I4" s="26" t="s">
        <v>56</v>
      </c>
    </row>
    <row r="5" spans="1:19" x14ac:dyDescent="0.25">
      <c r="A5" s="28">
        <v>1</v>
      </c>
      <c r="B5" s="29" t="s">
        <v>8</v>
      </c>
      <c r="C5" s="30"/>
      <c r="D5" s="32">
        <f>SUM(D6,D9,D39,D75,D107,D126)</f>
        <v>1116</v>
      </c>
      <c r="E5" s="32"/>
      <c r="F5" s="32">
        <f>SUM(F6,F9,F39,F75,F107,F126)</f>
        <v>849747000</v>
      </c>
      <c r="G5" s="32"/>
      <c r="H5" s="32">
        <f>SUM(H6,H9,H39,H75,H107,H126)</f>
        <v>849747000</v>
      </c>
      <c r="I5" s="32">
        <f>SUM(I6,I9,I39,I75,I126)</f>
        <v>0</v>
      </c>
      <c r="N5" s="1"/>
      <c r="O5" s="43"/>
      <c r="P5" s="43"/>
    </row>
    <row r="6" spans="1:19" s="118" customFormat="1" ht="34.5" customHeight="1" x14ac:dyDescent="0.25">
      <c r="A6" s="35" t="s">
        <v>50</v>
      </c>
      <c r="B6" s="36" t="s">
        <v>77</v>
      </c>
      <c r="C6" s="115" t="s">
        <v>30</v>
      </c>
      <c r="D6" s="45">
        <f>SUM(D7:D8)</f>
        <v>10</v>
      </c>
      <c r="E6" s="45"/>
      <c r="F6" s="45">
        <f>SUM(F7:F8)</f>
        <v>9536000</v>
      </c>
      <c r="G6" s="116"/>
      <c r="H6" s="45">
        <f t="shared" ref="H6:H76" si="0">F6</f>
        <v>9536000</v>
      </c>
      <c r="I6" s="117">
        <v>0</v>
      </c>
      <c r="N6" s="1"/>
      <c r="O6" s="1"/>
      <c r="P6" s="152"/>
      <c r="Q6" s="151"/>
    </row>
    <row r="7" spans="1:19" s="118" customFormat="1" ht="34.5" customHeight="1" x14ac:dyDescent="0.25">
      <c r="A7" s="35"/>
      <c r="B7" s="40" t="s">
        <v>126</v>
      </c>
      <c r="C7" s="37"/>
      <c r="D7" s="41">
        <v>5</v>
      </c>
      <c r="E7" s="38">
        <v>0.79</v>
      </c>
      <c r="F7" s="42">
        <f>D7*E7*1490000</f>
        <v>5885500</v>
      </c>
      <c r="G7" s="33"/>
      <c r="H7" s="42">
        <f>F7</f>
        <v>5885500</v>
      </c>
      <c r="I7" s="117"/>
      <c r="N7" s="1"/>
      <c r="O7" s="1"/>
      <c r="P7" s="151"/>
    </row>
    <row r="8" spans="1:19" ht="22.5" customHeight="1" x14ac:dyDescent="0.25">
      <c r="A8" s="39"/>
      <c r="B8" s="40" t="s">
        <v>127</v>
      </c>
      <c r="C8" s="37"/>
      <c r="D8" s="41">
        <v>5</v>
      </c>
      <c r="E8" s="38">
        <v>0.49</v>
      </c>
      <c r="F8" s="42">
        <f>E8*D8*1490000</f>
        <v>3650500.0000000005</v>
      </c>
      <c r="G8" s="33"/>
      <c r="H8" s="42">
        <f t="shared" si="0"/>
        <v>3650500.0000000005</v>
      </c>
      <c r="I8" s="34"/>
      <c r="L8" s="43"/>
      <c r="N8" s="44"/>
      <c r="O8" s="43"/>
      <c r="P8" s="1"/>
      <c r="Q8" s="44"/>
      <c r="R8" s="44"/>
      <c r="S8" s="44"/>
    </row>
    <row r="9" spans="1:19" s="118" customFormat="1" ht="81.95" customHeight="1" x14ac:dyDescent="0.25">
      <c r="A9" s="35" t="s">
        <v>84</v>
      </c>
      <c r="B9" s="101" t="s">
        <v>128</v>
      </c>
      <c r="C9" s="115" t="s">
        <v>32</v>
      </c>
      <c r="D9" s="45">
        <f>SUM(D10,D14,D18,D22,D26,D30,D34)</f>
        <v>304</v>
      </c>
      <c r="E9" s="45"/>
      <c r="F9" s="45">
        <f>SUM(F10,F14,F18,F22,F26,F30,F34)</f>
        <v>231695000</v>
      </c>
      <c r="G9" s="45"/>
      <c r="H9" s="45">
        <f>SUM(H10,H14,H18,H22,H26,H30,H34)</f>
        <v>231695000</v>
      </c>
      <c r="I9" s="150"/>
    </row>
    <row r="10" spans="1:19" s="55" customFormat="1" ht="75" customHeight="1" x14ac:dyDescent="0.25">
      <c r="A10" s="46" t="s">
        <v>78</v>
      </c>
      <c r="B10" s="47" t="s">
        <v>129</v>
      </c>
      <c r="C10" s="48" t="s">
        <v>32</v>
      </c>
      <c r="D10" s="49">
        <f>SUM(D11:D13)</f>
        <v>40</v>
      </c>
      <c r="E10" s="50"/>
      <c r="F10" s="51">
        <f>SUM(F11:F13)</f>
        <v>31439000</v>
      </c>
      <c r="G10" s="52"/>
      <c r="H10" s="53">
        <f t="shared" si="0"/>
        <v>31439000</v>
      </c>
      <c r="I10" s="54"/>
      <c r="N10" s="56"/>
    </row>
    <row r="11" spans="1:19" x14ac:dyDescent="0.25">
      <c r="A11" s="39"/>
      <c r="B11" s="40" t="s">
        <v>126</v>
      </c>
      <c r="C11" s="37"/>
      <c r="D11" s="57">
        <v>5</v>
      </c>
      <c r="E11" s="38">
        <v>0.79</v>
      </c>
      <c r="F11" s="42">
        <f>E11*D11*1490000</f>
        <v>5885500</v>
      </c>
      <c r="G11" s="33"/>
      <c r="H11" s="42">
        <f t="shared" si="0"/>
        <v>5885500</v>
      </c>
      <c r="I11" s="34"/>
      <c r="L11" s="43"/>
      <c r="N11" s="43"/>
      <c r="O11" s="43"/>
      <c r="P11" s="43"/>
    </row>
    <row r="12" spans="1:19" x14ac:dyDescent="0.25">
      <c r="A12" s="39"/>
      <c r="B12" s="40" t="s">
        <v>150</v>
      </c>
      <c r="C12" s="37"/>
      <c r="D12" s="41">
        <v>15</v>
      </c>
      <c r="E12" s="38">
        <v>0.49</v>
      </c>
      <c r="F12" s="42">
        <f>E12*D12*1490000</f>
        <v>10951500</v>
      </c>
      <c r="G12" s="33"/>
      <c r="H12" s="42">
        <f>F12</f>
        <v>10951500</v>
      </c>
      <c r="I12" s="34"/>
      <c r="L12" s="43"/>
      <c r="N12" s="40"/>
      <c r="O12" s="43"/>
      <c r="P12" s="43"/>
    </row>
    <row r="13" spans="1:19" ht="16.5" customHeight="1" x14ac:dyDescent="0.25">
      <c r="A13" s="39"/>
      <c r="B13" s="40" t="s">
        <v>127</v>
      </c>
      <c r="C13" s="37"/>
      <c r="D13" s="41">
        <v>20</v>
      </c>
      <c r="E13" s="38">
        <v>0.49</v>
      </c>
      <c r="F13" s="42">
        <f>E13*D13*1490000</f>
        <v>14602000.000000002</v>
      </c>
      <c r="G13" s="33"/>
      <c r="H13" s="42">
        <f t="shared" si="0"/>
        <v>14602000.000000002</v>
      </c>
      <c r="I13" s="34"/>
      <c r="L13" s="43"/>
      <c r="N13" s="61"/>
      <c r="O13" s="43"/>
      <c r="P13" s="43"/>
    </row>
    <row r="14" spans="1:19" s="55" customFormat="1" ht="78.95" customHeight="1" x14ac:dyDescent="0.25">
      <c r="A14" s="46" t="s">
        <v>79</v>
      </c>
      <c r="B14" s="47" t="s">
        <v>166</v>
      </c>
      <c r="C14" s="48" t="s">
        <v>32</v>
      </c>
      <c r="D14" s="49">
        <f>SUM(D15:D17)</f>
        <v>40</v>
      </c>
      <c r="E14" s="50"/>
      <c r="F14" s="51">
        <f>SUM(F15:F17)</f>
        <v>26522000</v>
      </c>
      <c r="G14" s="52"/>
      <c r="H14" s="53">
        <f t="shared" si="0"/>
        <v>26522000</v>
      </c>
      <c r="I14" s="54"/>
      <c r="N14" s="56"/>
    </row>
    <row r="15" spans="1:19" x14ac:dyDescent="0.25">
      <c r="A15" s="39"/>
      <c r="B15" s="40" t="s">
        <v>126</v>
      </c>
      <c r="C15" s="37"/>
      <c r="D15" s="57">
        <v>10</v>
      </c>
      <c r="E15" s="38">
        <v>0.79</v>
      </c>
      <c r="F15" s="42">
        <f>E15*D15*1490000</f>
        <v>11771000</v>
      </c>
      <c r="G15" s="33"/>
      <c r="H15" s="42">
        <f t="shared" si="0"/>
        <v>11771000</v>
      </c>
      <c r="I15" s="34"/>
      <c r="O15" s="43"/>
      <c r="P15" s="43"/>
    </row>
    <row r="16" spans="1:19" x14ac:dyDescent="0.25">
      <c r="A16" s="39"/>
      <c r="B16" s="40" t="s">
        <v>151</v>
      </c>
      <c r="C16" s="37"/>
      <c r="D16" s="41">
        <v>20</v>
      </c>
      <c r="E16" s="38">
        <v>0.25</v>
      </c>
      <c r="F16" s="42">
        <f>E16*D16*1490000</f>
        <v>7450000</v>
      </c>
      <c r="G16" s="33"/>
      <c r="H16" s="42">
        <f>F16</f>
        <v>7450000</v>
      </c>
      <c r="I16" s="34"/>
      <c r="L16" s="43"/>
    </row>
    <row r="17" spans="1:16" ht="16.5" customHeight="1" x14ac:dyDescent="0.25">
      <c r="A17" s="39"/>
      <c r="B17" s="40" t="s">
        <v>152</v>
      </c>
      <c r="C17" s="37"/>
      <c r="D17" s="41">
        <v>10</v>
      </c>
      <c r="E17" s="38">
        <v>0.49</v>
      </c>
      <c r="F17" s="42">
        <f>E17*D17*1490000</f>
        <v>7301000.0000000009</v>
      </c>
      <c r="G17" s="33"/>
      <c r="H17" s="42">
        <f t="shared" si="0"/>
        <v>7301000.0000000009</v>
      </c>
      <c r="I17" s="34"/>
      <c r="O17" s="43"/>
      <c r="P17" s="43"/>
    </row>
    <row r="18" spans="1:16" s="55" customFormat="1" ht="70.5" customHeight="1" x14ac:dyDescent="0.25">
      <c r="A18" s="46" t="s">
        <v>80</v>
      </c>
      <c r="B18" s="47" t="s">
        <v>172</v>
      </c>
      <c r="C18" s="48" t="s">
        <v>32</v>
      </c>
      <c r="D18" s="49">
        <f>SUM(D19:D21)</f>
        <v>45</v>
      </c>
      <c r="E18" s="50"/>
      <c r="F18" s="51">
        <f>SUM(F19:F21)</f>
        <v>37324500</v>
      </c>
      <c r="G18" s="52"/>
      <c r="H18" s="53">
        <f t="shared" si="0"/>
        <v>37324500</v>
      </c>
      <c r="I18" s="54">
        <v>0</v>
      </c>
      <c r="N18" s="56"/>
    </row>
    <row r="19" spans="1:16" x14ac:dyDescent="0.25">
      <c r="A19" s="39"/>
      <c r="B19" s="40" t="s">
        <v>126</v>
      </c>
      <c r="C19" s="37"/>
      <c r="D19" s="57">
        <v>10</v>
      </c>
      <c r="E19" s="38">
        <v>0.79</v>
      </c>
      <c r="F19" s="42">
        <f>E19*D19*1490000</f>
        <v>11771000</v>
      </c>
      <c r="G19" s="33"/>
      <c r="H19" s="42">
        <f t="shared" ref="H19" si="1">F19</f>
        <v>11771000</v>
      </c>
      <c r="I19" s="34"/>
    </row>
    <row r="20" spans="1:16" x14ac:dyDescent="0.25">
      <c r="A20" s="39"/>
      <c r="B20" s="59" t="s">
        <v>155</v>
      </c>
      <c r="C20" s="37"/>
      <c r="D20" s="41">
        <v>15</v>
      </c>
      <c r="E20" s="38">
        <v>0.49</v>
      </c>
      <c r="F20" s="42">
        <f>E20*D20*1490000</f>
        <v>10951500</v>
      </c>
      <c r="G20" s="33"/>
      <c r="H20" s="42">
        <f>F20</f>
        <v>10951500</v>
      </c>
      <c r="I20" s="34"/>
    </row>
    <row r="21" spans="1:16" ht="16.5" customHeight="1" x14ac:dyDescent="0.25">
      <c r="A21" s="39"/>
      <c r="B21" s="40" t="s">
        <v>150</v>
      </c>
      <c r="C21" s="37"/>
      <c r="D21" s="41">
        <v>20</v>
      </c>
      <c r="E21" s="38">
        <v>0.49</v>
      </c>
      <c r="F21" s="42">
        <f>E21*D21*1490000</f>
        <v>14602000.000000002</v>
      </c>
      <c r="G21" s="33"/>
      <c r="H21" s="42">
        <f t="shared" ref="H21" si="2">F21</f>
        <v>14602000.000000002</v>
      </c>
      <c r="I21" s="34"/>
    </row>
    <row r="22" spans="1:16" s="55" customFormat="1" ht="105.75" customHeight="1" x14ac:dyDescent="0.25">
      <c r="A22" s="46" t="s">
        <v>81</v>
      </c>
      <c r="B22" s="47" t="s">
        <v>167</v>
      </c>
      <c r="C22" s="48" t="s">
        <v>32</v>
      </c>
      <c r="D22" s="49">
        <f>SUM(D23:D25)</f>
        <v>30</v>
      </c>
      <c r="E22" s="50"/>
      <c r="F22" s="51">
        <f>SUM(F23:F25)</f>
        <v>26373000</v>
      </c>
      <c r="G22" s="52"/>
      <c r="H22" s="53">
        <f t="shared" si="0"/>
        <v>26373000</v>
      </c>
      <c r="I22" s="54">
        <v>0</v>
      </c>
      <c r="N22" s="56"/>
    </row>
    <row r="23" spans="1:16" x14ac:dyDescent="0.25">
      <c r="A23" s="39"/>
      <c r="B23" s="40" t="s">
        <v>126</v>
      </c>
      <c r="C23" s="37"/>
      <c r="D23" s="57">
        <v>10</v>
      </c>
      <c r="E23" s="38">
        <v>0.79</v>
      </c>
      <c r="F23" s="42">
        <f>E23*D23*1490000</f>
        <v>11771000</v>
      </c>
      <c r="G23" s="33"/>
      <c r="H23" s="42">
        <f t="shared" ref="H23" si="3">F23</f>
        <v>11771000</v>
      </c>
      <c r="I23" s="34"/>
    </row>
    <row r="24" spans="1:16" x14ac:dyDescent="0.25">
      <c r="A24" s="39"/>
      <c r="B24" s="59" t="s">
        <v>154</v>
      </c>
      <c r="C24" s="37"/>
      <c r="D24" s="41">
        <v>5</v>
      </c>
      <c r="E24" s="38">
        <v>0.49</v>
      </c>
      <c r="F24" s="42">
        <f>E24*D24*1490000</f>
        <v>3650500.0000000005</v>
      </c>
      <c r="G24" s="33"/>
      <c r="H24" s="42">
        <f t="shared" ref="H24:H25" si="4">F24</f>
        <v>3650500.0000000005</v>
      </c>
      <c r="I24" s="34"/>
    </row>
    <row r="25" spans="1:16" ht="17.25" customHeight="1" x14ac:dyDescent="0.25">
      <c r="A25" s="39"/>
      <c r="B25" s="59" t="s">
        <v>127</v>
      </c>
      <c r="C25" s="37"/>
      <c r="D25" s="41">
        <v>15</v>
      </c>
      <c r="E25" s="38">
        <v>0.49</v>
      </c>
      <c r="F25" s="42">
        <f>E25*D25*1490000</f>
        <v>10951500</v>
      </c>
      <c r="G25" s="33"/>
      <c r="H25" s="42">
        <f t="shared" si="4"/>
        <v>10951500</v>
      </c>
      <c r="I25" s="34"/>
    </row>
    <row r="26" spans="1:16" s="55" customFormat="1" ht="104.25" customHeight="1" x14ac:dyDescent="0.25">
      <c r="A26" s="46" t="s">
        <v>82</v>
      </c>
      <c r="B26" s="47" t="s">
        <v>130</v>
      </c>
      <c r="C26" s="48" t="s">
        <v>32</v>
      </c>
      <c r="D26" s="49">
        <f>SUM(D27:D29)</f>
        <v>50</v>
      </c>
      <c r="E26" s="50"/>
      <c r="F26" s="51">
        <f>SUM(F27:F29)</f>
        <v>33823000</v>
      </c>
      <c r="G26" s="52"/>
      <c r="H26" s="53">
        <f t="shared" si="0"/>
        <v>33823000</v>
      </c>
      <c r="I26" s="54">
        <v>0</v>
      </c>
      <c r="N26" s="56"/>
    </row>
    <row r="27" spans="1:16" x14ac:dyDescent="0.25">
      <c r="A27" s="39"/>
      <c r="B27" s="40" t="s">
        <v>126</v>
      </c>
      <c r="C27" s="37"/>
      <c r="D27" s="57">
        <v>10</v>
      </c>
      <c r="E27" s="38">
        <v>0.79</v>
      </c>
      <c r="F27" s="42">
        <f>E27*D27*1490000</f>
        <v>11771000</v>
      </c>
      <c r="G27" s="33"/>
      <c r="H27" s="42">
        <f t="shared" ref="H27" si="5">F27</f>
        <v>11771000</v>
      </c>
      <c r="I27" s="34"/>
    </row>
    <row r="28" spans="1:16" x14ac:dyDescent="0.25">
      <c r="A28" s="39"/>
      <c r="B28" s="59" t="s">
        <v>150</v>
      </c>
      <c r="C28" s="37"/>
      <c r="D28" s="41">
        <v>20</v>
      </c>
      <c r="E28" s="38">
        <v>0.49</v>
      </c>
      <c r="F28" s="42">
        <f>E28*D28*1490000</f>
        <v>14602000.000000002</v>
      </c>
      <c r="G28" s="33"/>
      <c r="H28" s="42">
        <f t="shared" ref="H28:H31" si="6">F28</f>
        <v>14602000.000000002</v>
      </c>
      <c r="I28" s="34"/>
    </row>
    <row r="29" spans="1:16" ht="15.75" customHeight="1" x14ac:dyDescent="0.25">
      <c r="A29" s="60"/>
      <c r="B29" s="59" t="s">
        <v>153</v>
      </c>
      <c r="C29" s="62"/>
      <c r="D29" s="41">
        <v>20</v>
      </c>
      <c r="E29" s="63">
        <v>0.25</v>
      </c>
      <c r="F29" s="42">
        <f>E29*D29*1490000</f>
        <v>7450000</v>
      </c>
      <c r="G29" s="33"/>
      <c r="H29" s="42">
        <f t="shared" si="6"/>
        <v>7450000</v>
      </c>
      <c r="I29" s="34"/>
    </row>
    <row r="30" spans="1:16" s="55" customFormat="1" ht="95.25" customHeight="1" x14ac:dyDescent="0.25">
      <c r="A30" s="46" t="s">
        <v>83</v>
      </c>
      <c r="B30" s="47" t="s">
        <v>158</v>
      </c>
      <c r="C30" s="48" t="s">
        <v>32</v>
      </c>
      <c r="D30" s="49">
        <f>SUM(D31:D33)</f>
        <v>45</v>
      </c>
      <c r="E30" s="50"/>
      <c r="F30" s="51">
        <f>SUM(F31:F33)</f>
        <v>37324500</v>
      </c>
      <c r="G30" s="52"/>
      <c r="H30" s="53">
        <f t="shared" si="6"/>
        <v>37324500</v>
      </c>
      <c r="I30" s="54">
        <v>0</v>
      </c>
      <c r="N30" s="56"/>
    </row>
    <row r="31" spans="1:16" ht="15.75" customHeight="1" x14ac:dyDescent="0.25">
      <c r="A31" s="9"/>
      <c r="B31" s="65" t="s">
        <v>126</v>
      </c>
      <c r="C31" s="66"/>
      <c r="D31" s="57">
        <v>10</v>
      </c>
      <c r="E31" s="67">
        <v>0.79</v>
      </c>
      <c r="F31" s="68">
        <f>E31*D31*1490000</f>
        <v>11771000</v>
      </c>
      <c r="G31" s="33"/>
      <c r="H31" s="42">
        <f t="shared" si="6"/>
        <v>11771000</v>
      </c>
      <c r="I31" s="34"/>
    </row>
    <row r="32" spans="1:16" ht="15.75" customHeight="1" x14ac:dyDescent="0.25">
      <c r="A32" s="10"/>
      <c r="B32" s="69" t="s">
        <v>154</v>
      </c>
      <c r="C32" s="37"/>
      <c r="D32" s="41">
        <v>5</v>
      </c>
      <c r="E32" s="38">
        <v>0.49</v>
      </c>
      <c r="F32" s="68">
        <f>E32*D32*1490000</f>
        <v>3650500.0000000005</v>
      </c>
      <c r="G32" s="33"/>
      <c r="H32" s="42">
        <f>F32</f>
        <v>3650500.0000000005</v>
      </c>
      <c r="I32" s="34"/>
    </row>
    <row r="33" spans="1:14" ht="15.75" customHeight="1" x14ac:dyDescent="0.25">
      <c r="A33" s="10"/>
      <c r="B33" s="70" t="s">
        <v>127</v>
      </c>
      <c r="C33" s="37"/>
      <c r="D33" s="41">
        <v>30</v>
      </c>
      <c r="E33" s="38">
        <v>0.49</v>
      </c>
      <c r="F33" s="68">
        <f>E33*D33*1490000</f>
        <v>21903000</v>
      </c>
      <c r="G33" s="33"/>
      <c r="H33" s="42">
        <f t="shared" ref="H33:H35" si="7">F33</f>
        <v>21903000</v>
      </c>
      <c r="I33" s="34"/>
    </row>
    <row r="34" spans="1:14" s="55" customFormat="1" ht="74.25" customHeight="1" x14ac:dyDescent="0.25">
      <c r="A34" s="46" t="s">
        <v>110</v>
      </c>
      <c r="B34" s="47" t="s">
        <v>168</v>
      </c>
      <c r="C34" s="48" t="s">
        <v>32</v>
      </c>
      <c r="D34" s="49">
        <f>SUM(D35:D38)</f>
        <v>54</v>
      </c>
      <c r="E34" s="50"/>
      <c r="F34" s="51">
        <f>SUM(F35:F38)</f>
        <v>38889000</v>
      </c>
      <c r="G34" s="52"/>
      <c r="H34" s="53">
        <f t="shared" si="7"/>
        <v>38889000</v>
      </c>
      <c r="I34" s="54">
        <v>0</v>
      </c>
      <c r="N34" s="56"/>
    </row>
    <row r="35" spans="1:14" ht="15.75" customHeight="1" x14ac:dyDescent="0.25">
      <c r="A35" s="9"/>
      <c r="B35" s="65" t="s">
        <v>126</v>
      </c>
      <c r="C35" s="66"/>
      <c r="D35" s="57">
        <v>10</v>
      </c>
      <c r="E35" s="67">
        <v>0.79</v>
      </c>
      <c r="F35" s="68">
        <f>E35*D35*1490000</f>
        <v>11771000</v>
      </c>
      <c r="G35" s="33"/>
      <c r="H35" s="42">
        <f t="shared" si="7"/>
        <v>11771000</v>
      </c>
      <c r="I35" s="34"/>
    </row>
    <row r="36" spans="1:14" ht="15.75" customHeight="1" x14ac:dyDescent="0.25">
      <c r="A36" s="10"/>
      <c r="B36" s="69" t="s">
        <v>152</v>
      </c>
      <c r="C36" s="37"/>
      <c r="D36" s="41">
        <v>15</v>
      </c>
      <c r="E36" s="38">
        <v>0.49</v>
      </c>
      <c r="F36" s="68">
        <f>E36*D36*1490000</f>
        <v>10951500</v>
      </c>
      <c r="G36" s="33"/>
      <c r="H36" s="42">
        <f>F36</f>
        <v>10951500</v>
      </c>
      <c r="I36" s="34"/>
    </row>
    <row r="37" spans="1:14" ht="15.75" customHeight="1" x14ac:dyDescent="0.25">
      <c r="A37" s="10"/>
      <c r="B37" s="70" t="s">
        <v>151</v>
      </c>
      <c r="C37" s="37"/>
      <c r="D37" s="41">
        <v>14</v>
      </c>
      <c r="E37" s="38">
        <v>0.25</v>
      </c>
      <c r="F37" s="68">
        <f>E37*D37*1490000</f>
        <v>5215000</v>
      </c>
      <c r="G37" s="33"/>
      <c r="H37" s="42">
        <f t="shared" ref="H37:H38" si="8">F37</f>
        <v>5215000</v>
      </c>
      <c r="I37" s="34"/>
    </row>
    <row r="38" spans="1:14" ht="15.75" customHeight="1" x14ac:dyDescent="0.25">
      <c r="A38" s="10"/>
      <c r="B38" s="59" t="s">
        <v>155</v>
      </c>
      <c r="C38" s="37"/>
      <c r="D38" s="41">
        <v>15</v>
      </c>
      <c r="E38" s="38">
        <v>0.49</v>
      </c>
      <c r="F38" s="68">
        <f>E38*D38*1490000</f>
        <v>10951500</v>
      </c>
      <c r="G38" s="33"/>
      <c r="H38" s="42">
        <f t="shared" si="8"/>
        <v>10951500</v>
      </c>
      <c r="I38" s="34"/>
    </row>
    <row r="39" spans="1:14" s="118" customFormat="1" ht="146.1" customHeight="1" x14ac:dyDescent="0.25">
      <c r="A39" s="35" t="s">
        <v>85</v>
      </c>
      <c r="B39" s="36" t="s">
        <v>169</v>
      </c>
      <c r="C39" s="115" t="s">
        <v>32</v>
      </c>
      <c r="D39" s="31">
        <f>SUM(D40,D44,D48,D52,D56,D60,D65,D69,D72)</f>
        <v>330</v>
      </c>
      <c r="E39" s="58"/>
      <c r="F39" s="45">
        <f>SUM(F40,F44,F48,F52,F56,F60,F65,F69,F72)</f>
        <v>240933000</v>
      </c>
      <c r="G39" s="116"/>
      <c r="H39" s="45">
        <f t="shared" si="0"/>
        <v>240933000</v>
      </c>
      <c r="I39" s="117"/>
    </row>
    <row r="40" spans="1:14" s="55" customFormat="1" ht="63.75" customHeight="1" x14ac:dyDescent="0.25">
      <c r="A40" s="46" t="s">
        <v>86</v>
      </c>
      <c r="B40" s="47" t="s">
        <v>162</v>
      </c>
      <c r="C40" s="48" t="s">
        <v>32</v>
      </c>
      <c r="D40" s="49">
        <f>SUM(D41:D43)</f>
        <v>35</v>
      </c>
      <c r="E40" s="50"/>
      <c r="F40" s="51">
        <f>SUM(F41:F43)</f>
        <v>22871500</v>
      </c>
      <c r="G40" s="52"/>
      <c r="H40" s="53">
        <f t="shared" si="0"/>
        <v>22871500</v>
      </c>
      <c r="I40" s="54">
        <v>0</v>
      </c>
      <c r="N40" s="56"/>
    </row>
    <row r="41" spans="1:14" x14ac:dyDescent="0.25">
      <c r="A41" s="39"/>
      <c r="B41" s="59" t="s">
        <v>126</v>
      </c>
      <c r="C41" s="37"/>
      <c r="D41" s="57">
        <v>10</v>
      </c>
      <c r="E41" s="38">
        <v>0.79</v>
      </c>
      <c r="F41" s="42">
        <f>E41*D41*1490000</f>
        <v>11771000</v>
      </c>
      <c r="G41" s="33"/>
      <c r="H41" s="42">
        <f t="shared" si="0"/>
        <v>11771000</v>
      </c>
      <c r="I41" s="34"/>
    </row>
    <row r="42" spans="1:14" ht="18" customHeight="1" x14ac:dyDescent="0.25">
      <c r="A42" s="39"/>
      <c r="B42" s="59" t="s">
        <v>154</v>
      </c>
      <c r="C42" s="37"/>
      <c r="D42" s="41">
        <v>5</v>
      </c>
      <c r="E42" s="38">
        <v>0.49</v>
      </c>
      <c r="F42" s="42">
        <f>E42*D42*1490000</f>
        <v>3650500.0000000005</v>
      </c>
      <c r="G42" s="33"/>
      <c r="H42" s="42">
        <f t="shared" ref="H42:H43" si="9">F42</f>
        <v>3650500.0000000005</v>
      </c>
      <c r="I42" s="34"/>
    </row>
    <row r="43" spans="1:14" ht="16.5" customHeight="1" x14ac:dyDescent="0.25">
      <c r="A43" s="39"/>
      <c r="B43" s="59" t="s">
        <v>153</v>
      </c>
      <c r="C43" s="37"/>
      <c r="D43" s="41">
        <v>20</v>
      </c>
      <c r="E43" s="38">
        <v>0.25</v>
      </c>
      <c r="F43" s="42">
        <f>E43*D43*1490000</f>
        <v>7450000</v>
      </c>
      <c r="G43" s="33"/>
      <c r="H43" s="42">
        <f t="shared" si="9"/>
        <v>7450000</v>
      </c>
      <c r="I43" s="34"/>
    </row>
    <row r="44" spans="1:14" s="55" customFormat="1" ht="118.5" customHeight="1" x14ac:dyDescent="0.25">
      <c r="A44" s="46" t="s">
        <v>87</v>
      </c>
      <c r="B44" s="47" t="s">
        <v>159</v>
      </c>
      <c r="C44" s="48" t="s">
        <v>32</v>
      </c>
      <c r="D44" s="49">
        <f>SUM(D45:D47)</f>
        <v>45</v>
      </c>
      <c r="E44" s="50"/>
      <c r="F44" s="51">
        <f>SUM(F45:F47)</f>
        <v>26149500</v>
      </c>
      <c r="G44" s="52"/>
      <c r="H44" s="53">
        <f t="shared" si="0"/>
        <v>26149500</v>
      </c>
      <c r="I44" s="54">
        <v>0</v>
      </c>
      <c r="N44" s="56"/>
    </row>
    <row r="45" spans="1:14" x14ac:dyDescent="0.25">
      <c r="A45" s="39"/>
      <c r="B45" s="59" t="s">
        <v>126</v>
      </c>
      <c r="C45" s="37"/>
      <c r="D45" s="57">
        <v>5</v>
      </c>
      <c r="E45" s="38">
        <v>0.79</v>
      </c>
      <c r="F45" s="42">
        <f>E45*D45*1490000</f>
        <v>5885500</v>
      </c>
      <c r="G45" s="33"/>
      <c r="H45" s="42">
        <f t="shared" ref="H45" si="10">F45</f>
        <v>5885500</v>
      </c>
      <c r="I45" s="34"/>
    </row>
    <row r="46" spans="1:14" ht="17.25" customHeight="1" x14ac:dyDescent="0.25">
      <c r="A46" s="39"/>
      <c r="B46" s="59" t="s">
        <v>127</v>
      </c>
      <c r="C46" s="37"/>
      <c r="D46" s="41">
        <v>15</v>
      </c>
      <c r="E46" s="38">
        <v>0.49</v>
      </c>
      <c r="F46" s="42">
        <f>E46*D46*1490000</f>
        <v>10951500</v>
      </c>
      <c r="G46" s="33"/>
      <c r="H46" s="42">
        <f t="shared" ref="H46:H47" si="11">F46</f>
        <v>10951500</v>
      </c>
      <c r="I46" s="34"/>
    </row>
    <row r="47" spans="1:14" x14ac:dyDescent="0.25">
      <c r="A47" s="39"/>
      <c r="B47" s="59" t="s">
        <v>151</v>
      </c>
      <c r="C47" s="37"/>
      <c r="D47" s="41">
        <v>25</v>
      </c>
      <c r="E47" s="38">
        <v>0.25</v>
      </c>
      <c r="F47" s="42">
        <f>E47*D47*1490000</f>
        <v>9312500</v>
      </c>
      <c r="G47" s="33"/>
      <c r="H47" s="42">
        <f t="shared" si="11"/>
        <v>9312500</v>
      </c>
      <c r="I47" s="34"/>
    </row>
    <row r="48" spans="1:14" s="55" customFormat="1" ht="78.75" customHeight="1" x14ac:dyDescent="0.25">
      <c r="A48" s="46" t="s">
        <v>88</v>
      </c>
      <c r="B48" s="47" t="s">
        <v>131</v>
      </c>
      <c r="C48" s="48" t="s">
        <v>32</v>
      </c>
      <c r="D48" s="49">
        <f>SUM(D49:D51)</f>
        <v>35</v>
      </c>
      <c r="E48" s="50"/>
      <c r="F48" s="51">
        <f>SUM(F49:F51)</f>
        <v>27788500</v>
      </c>
      <c r="G48" s="52"/>
      <c r="H48" s="53">
        <f t="shared" si="0"/>
        <v>27788500</v>
      </c>
      <c r="I48" s="54">
        <v>0</v>
      </c>
      <c r="N48" s="56"/>
    </row>
    <row r="49" spans="1:14" x14ac:dyDescent="0.25">
      <c r="A49" s="39"/>
      <c r="B49" s="59" t="s">
        <v>126</v>
      </c>
      <c r="C49" s="37"/>
      <c r="D49" s="57">
        <v>5</v>
      </c>
      <c r="E49" s="38">
        <v>0.79</v>
      </c>
      <c r="F49" s="42">
        <f>E49*D49*1490000</f>
        <v>5885500</v>
      </c>
      <c r="G49" s="33"/>
      <c r="H49" s="42">
        <f t="shared" ref="H49" si="12">F49</f>
        <v>5885500</v>
      </c>
      <c r="I49" s="34"/>
    </row>
    <row r="50" spans="1:14" ht="16.5" customHeight="1" x14ac:dyDescent="0.25">
      <c r="A50" s="39"/>
      <c r="B50" s="59" t="s">
        <v>150</v>
      </c>
      <c r="C50" s="37"/>
      <c r="D50" s="41">
        <v>10</v>
      </c>
      <c r="E50" s="38">
        <v>0.49</v>
      </c>
      <c r="F50" s="42">
        <f>E50*D50*1490000</f>
        <v>7301000.0000000009</v>
      </c>
      <c r="G50" s="33"/>
      <c r="H50" s="42">
        <f t="shared" ref="H50:H51" si="13">F50</f>
        <v>7301000.0000000009</v>
      </c>
      <c r="I50" s="34"/>
    </row>
    <row r="51" spans="1:14" x14ac:dyDescent="0.25">
      <c r="A51" s="39"/>
      <c r="B51" s="59" t="s">
        <v>127</v>
      </c>
      <c r="C51" s="37"/>
      <c r="D51" s="41">
        <v>20</v>
      </c>
      <c r="E51" s="38">
        <v>0.49</v>
      </c>
      <c r="F51" s="42">
        <f>E51*D51*1490000</f>
        <v>14602000.000000002</v>
      </c>
      <c r="G51" s="33"/>
      <c r="H51" s="42">
        <f t="shared" si="13"/>
        <v>14602000.000000002</v>
      </c>
      <c r="I51" s="34"/>
    </row>
    <row r="52" spans="1:14" s="55" customFormat="1" ht="105.75" customHeight="1" x14ac:dyDescent="0.25">
      <c r="A52" s="46" t="s">
        <v>89</v>
      </c>
      <c r="B52" s="47" t="s">
        <v>163</v>
      </c>
      <c r="C52" s="48" t="s">
        <v>32</v>
      </c>
      <c r="D52" s="49">
        <f>SUM(D53:D55)</f>
        <v>35</v>
      </c>
      <c r="E52" s="50"/>
      <c r="F52" s="51">
        <f>SUM(F53:F55)</f>
        <v>24659500</v>
      </c>
      <c r="G52" s="52"/>
      <c r="H52" s="53">
        <f t="shared" si="0"/>
        <v>24659500</v>
      </c>
      <c r="I52" s="54">
        <v>0</v>
      </c>
      <c r="N52" s="56"/>
    </row>
    <row r="53" spans="1:14" x14ac:dyDescent="0.25">
      <c r="A53" s="39"/>
      <c r="B53" s="59" t="s">
        <v>126</v>
      </c>
      <c r="C53" s="37"/>
      <c r="D53" s="57">
        <v>10</v>
      </c>
      <c r="E53" s="38">
        <v>0.79</v>
      </c>
      <c r="F53" s="42">
        <f>E53*D53*1490000</f>
        <v>11771000</v>
      </c>
      <c r="G53" s="33"/>
      <c r="H53" s="42">
        <f t="shared" ref="H53" si="14">F53</f>
        <v>11771000</v>
      </c>
      <c r="I53" s="34"/>
    </row>
    <row r="54" spans="1:14" ht="17.25" customHeight="1" x14ac:dyDescent="0.25">
      <c r="A54" s="39"/>
      <c r="B54" s="59" t="s">
        <v>151</v>
      </c>
      <c r="C54" s="37"/>
      <c r="D54" s="41">
        <v>15</v>
      </c>
      <c r="E54" s="38">
        <v>0.25</v>
      </c>
      <c r="F54" s="42">
        <f>E54*D54*1490000</f>
        <v>5587500</v>
      </c>
      <c r="G54" s="33"/>
      <c r="H54" s="42">
        <f t="shared" ref="H54:H55" si="15">F54</f>
        <v>5587500</v>
      </c>
      <c r="I54" s="34"/>
    </row>
    <row r="55" spans="1:14" x14ac:dyDescent="0.25">
      <c r="A55" s="39"/>
      <c r="B55" s="59" t="s">
        <v>155</v>
      </c>
      <c r="C55" s="37"/>
      <c r="D55" s="41">
        <v>10</v>
      </c>
      <c r="E55" s="38">
        <v>0.49</v>
      </c>
      <c r="F55" s="42">
        <f>E55*D55*1490000</f>
        <v>7301000.0000000009</v>
      </c>
      <c r="G55" s="33"/>
      <c r="H55" s="42">
        <f t="shared" si="15"/>
        <v>7301000.0000000009</v>
      </c>
      <c r="I55" s="34"/>
    </row>
    <row r="56" spans="1:14" s="55" customFormat="1" ht="105.75" customHeight="1" x14ac:dyDescent="0.25">
      <c r="A56" s="46" t="s">
        <v>90</v>
      </c>
      <c r="B56" s="47" t="s">
        <v>132</v>
      </c>
      <c r="C56" s="48" t="s">
        <v>32</v>
      </c>
      <c r="D56" s="49">
        <f>SUM(D57:D59)</f>
        <v>35</v>
      </c>
      <c r="E56" s="50"/>
      <c r="F56" s="51">
        <f>SUM(F57:F59)</f>
        <v>30023500</v>
      </c>
      <c r="G56" s="52"/>
      <c r="H56" s="53">
        <f t="shared" si="0"/>
        <v>30023500</v>
      </c>
      <c r="I56" s="54">
        <v>0</v>
      </c>
      <c r="N56" s="56"/>
    </row>
    <row r="57" spans="1:14" x14ac:dyDescent="0.25">
      <c r="A57" s="39"/>
      <c r="B57" s="59" t="s">
        <v>126</v>
      </c>
      <c r="C57" s="37"/>
      <c r="D57" s="57">
        <v>10</v>
      </c>
      <c r="E57" s="38">
        <v>0.79</v>
      </c>
      <c r="F57" s="42">
        <f>E57*D57*1490000</f>
        <v>11771000</v>
      </c>
      <c r="G57" s="33"/>
      <c r="H57" s="42">
        <f t="shared" ref="H57" si="16">F57</f>
        <v>11771000</v>
      </c>
      <c r="I57" s="34"/>
    </row>
    <row r="58" spans="1:14" ht="15.75" customHeight="1" x14ac:dyDescent="0.25">
      <c r="A58" s="39"/>
      <c r="B58" s="59" t="s">
        <v>155</v>
      </c>
      <c r="C58" s="37"/>
      <c r="D58" s="41">
        <v>15</v>
      </c>
      <c r="E58" s="38">
        <v>0.49</v>
      </c>
      <c r="F58" s="42">
        <f>E58*D58*1490000</f>
        <v>10951500</v>
      </c>
      <c r="G58" s="33"/>
      <c r="H58" s="42">
        <f t="shared" ref="H58:H61" si="17">F58</f>
        <v>10951500</v>
      </c>
      <c r="I58" s="34"/>
    </row>
    <row r="59" spans="1:14" x14ac:dyDescent="0.25">
      <c r="A59" s="39"/>
      <c r="B59" s="59" t="s">
        <v>150</v>
      </c>
      <c r="C59" s="37"/>
      <c r="D59" s="41">
        <v>10</v>
      </c>
      <c r="E59" s="38">
        <v>0.49</v>
      </c>
      <c r="F59" s="42">
        <f>E59*D59*1490000</f>
        <v>7301000.0000000009</v>
      </c>
      <c r="G59" s="33"/>
      <c r="H59" s="42">
        <f t="shared" si="17"/>
        <v>7301000.0000000009</v>
      </c>
      <c r="I59" s="34"/>
    </row>
    <row r="60" spans="1:14" s="55" customFormat="1" ht="91.5" customHeight="1" x14ac:dyDescent="0.25">
      <c r="A60" s="46" t="s">
        <v>91</v>
      </c>
      <c r="B60" s="47" t="s">
        <v>133</v>
      </c>
      <c r="C60" s="48" t="s">
        <v>32</v>
      </c>
      <c r="D60" s="49">
        <f>SUM(D61:D64)</f>
        <v>40</v>
      </c>
      <c r="E60" s="50"/>
      <c r="F60" s="51">
        <f>SUM(F61:F64)</f>
        <v>33674000</v>
      </c>
      <c r="G60" s="52"/>
      <c r="H60" s="53">
        <f t="shared" si="17"/>
        <v>33674000</v>
      </c>
      <c r="I60" s="54">
        <v>0</v>
      </c>
      <c r="N60" s="56"/>
    </row>
    <row r="61" spans="1:14" x14ac:dyDescent="0.25">
      <c r="A61" s="39"/>
      <c r="B61" s="59" t="s">
        <v>126</v>
      </c>
      <c r="C61" s="37"/>
      <c r="D61" s="57">
        <v>10</v>
      </c>
      <c r="E61" s="38">
        <v>0.79</v>
      </c>
      <c r="F61" s="42">
        <f>E61*D61*1490000</f>
        <v>11771000</v>
      </c>
      <c r="G61" s="33"/>
      <c r="H61" s="42">
        <f t="shared" si="17"/>
        <v>11771000</v>
      </c>
      <c r="I61" s="34"/>
    </row>
    <row r="62" spans="1:14" x14ac:dyDescent="0.25">
      <c r="A62" s="39"/>
      <c r="B62" s="59" t="s">
        <v>154</v>
      </c>
      <c r="C62" s="37"/>
      <c r="D62" s="41">
        <v>5</v>
      </c>
      <c r="E62" s="38">
        <v>0.49</v>
      </c>
      <c r="F62" s="42">
        <f>E62*D62*1490000</f>
        <v>3650500.0000000005</v>
      </c>
      <c r="G62" s="33"/>
      <c r="H62" s="42">
        <f>F62</f>
        <v>3650500.0000000005</v>
      </c>
      <c r="I62" s="34"/>
    </row>
    <row r="63" spans="1:14" x14ac:dyDescent="0.25">
      <c r="A63" s="39"/>
      <c r="B63" s="59" t="s">
        <v>127</v>
      </c>
      <c r="C63" s="37"/>
      <c r="D63" s="41">
        <v>15</v>
      </c>
      <c r="E63" s="38">
        <v>0.49</v>
      </c>
      <c r="F63" s="42">
        <f>E63*D63*1490000</f>
        <v>10951500</v>
      </c>
      <c r="G63" s="33"/>
      <c r="H63" s="42">
        <f t="shared" ref="H63:H65" si="18">F63</f>
        <v>10951500</v>
      </c>
      <c r="I63" s="34"/>
    </row>
    <row r="64" spans="1:14" x14ac:dyDescent="0.25">
      <c r="A64" s="39"/>
      <c r="B64" s="59" t="s">
        <v>150</v>
      </c>
      <c r="C64" s="37"/>
      <c r="D64" s="41">
        <v>10</v>
      </c>
      <c r="E64" s="38">
        <v>0.49</v>
      </c>
      <c r="F64" s="42">
        <f>E64*D64*1490000</f>
        <v>7301000.0000000009</v>
      </c>
      <c r="G64" s="33"/>
      <c r="H64" s="42">
        <f t="shared" si="18"/>
        <v>7301000.0000000009</v>
      </c>
      <c r="I64" s="34"/>
    </row>
    <row r="65" spans="1:14" s="55" customFormat="1" ht="90" customHeight="1" x14ac:dyDescent="0.25">
      <c r="A65" s="46" t="s">
        <v>111</v>
      </c>
      <c r="B65" s="47" t="s">
        <v>164</v>
      </c>
      <c r="C65" s="48" t="s">
        <v>32</v>
      </c>
      <c r="D65" s="49">
        <f>SUM(D66:D68)</f>
        <v>45</v>
      </c>
      <c r="E65" s="50"/>
      <c r="F65" s="51">
        <f>SUM(F66:F68)</f>
        <v>30172500</v>
      </c>
      <c r="G65" s="52"/>
      <c r="H65" s="53">
        <f t="shared" si="18"/>
        <v>30172500</v>
      </c>
      <c r="I65" s="54">
        <v>0</v>
      </c>
      <c r="N65" s="56"/>
    </row>
    <row r="66" spans="1:14" x14ac:dyDescent="0.25">
      <c r="A66" s="39"/>
      <c r="B66" s="59" t="s">
        <v>126</v>
      </c>
      <c r="C66" s="37"/>
      <c r="D66" s="57">
        <v>10</v>
      </c>
      <c r="E66" s="38">
        <v>0.79</v>
      </c>
      <c r="F66" s="42">
        <f>E66*D66*1490000</f>
        <v>11771000</v>
      </c>
      <c r="G66" s="33"/>
      <c r="H66" s="42">
        <f t="shared" ref="H66" si="19">F66</f>
        <v>11771000</v>
      </c>
      <c r="I66" s="34"/>
    </row>
    <row r="67" spans="1:14" x14ac:dyDescent="0.25">
      <c r="A67" s="39"/>
      <c r="B67" s="59" t="s">
        <v>127</v>
      </c>
      <c r="C67" s="37"/>
      <c r="D67" s="41">
        <v>15</v>
      </c>
      <c r="E67" s="38">
        <v>0.49</v>
      </c>
      <c r="F67" s="42">
        <f>E67*D67*1490000</f>
        <v>10951500</v>
      </c>
      <c r="G67" s="33"/>
      <c r="H67" s="42">
        <f t="shared" ref="H67:H71" si="20">F67</f>
        <v>10951500</v>
      </c>
      <c r="I67" s="34"/>
    </row>
    <row r="68" spans="1:14" x14ac:dyDescent="0.25">
      <c r="A68" s="39"/>
      <c r="B68" s="59" t="s">
        <v>151</v>
      </c>
      <c r="C68" s="37"/>
      <c r="D68" s="41">
        <v>20</v>
      </c>
      <c r="E68" s="38">
        <v>0.25</v>
      </c>
      <c r="F68" s="42">
        <f>E68*D68*1490000</f>
        <v>7450000</v>
      </c>
      <c r="G68" s="33"/>
      <c r="H68" s="42">
        <f t="shared" si="20"/>
        <v>7450000</v>
      </c>
      <c r="I68" s="34"/>
    </row>
    <row r="69" spans="1:14" s="55" customFormat="1" ht="71.25" customHeight="1" x14ac:dyDescent="0.25">
      <c r="A69" s="46" t="s">
        <v>112</v>
      </c>
      <c r="B69" s="47" t="s">
        <v>170</v>
      </c>
      <c r="C69" s="48" t="s">
        <v>32</v>
      </c>
      <c r="D69" s="49">
        <f>SUM(D70:D71)</f>
        <v>30</v>
      </c>
      <c r="E69" s="50"/>
      <c r="F69" s="51">
        <f>SUM(F70:F71)</f>
        <v>19221000</v>
      </c>
      <c r="G69" s="52"/>
      <c r="H69" s="53">
        <f t="shared" si="20"/>
        <v>19221000</v>
      </c>
      <c r="I69" s="54">
        <v>0</v>
      </c>
      <c r="N69" s="56"/>
    </row>
    <row r="70" spans="1:14" x14ac:dyDescent="0.25">
      <c r="A70" s="39"/>
      <c r="B70" s="59" t="s">
        <v>126</v>
      </c>
      <c r="C70" s="37"/>
      <c r="D70" s="57">
        <v>10</v>
      </c>
      <c r="E70" s="38">
        <v>0.79</v>
      </c>
      <c r="F70" s="42">
        <f>E70*D70*1490000</f>
        <v>11771000</v>
      </c>
      <c r="G70" s="33"/>
      <c r="H70" s="42">
        <f t="shared" si="20"/>
        <v>11771000</v>
      </c>
      <c r="I70" s="34"/>
    </row>
    <row r="71" spans="1:14" x14ac:dyDescent="0.25">
      <c r="A71" s="39"/>
      <c r="B71" s="59" t="s">
        <v>151</v>
      </c>
      <c r="C71" s="37"/>
      <c r="D71" s="41">
        <v>20</v>
      </c>
      <c r="E71" s="38">
        <v>0.25</v>
      </c>
      <c r="F71" s="42">
        <f>E71*D71*1490000</f>
        <v>7450000</v>
      </c>
      <c r="G71" s="33"/>
      <c r="H71" s="42">
        <f t="shared" si="20"/>
        <v>7450000</v>
      </c>
      <c r="I71" s="34"/>
    </row>
    <row r="72" spans="1:14" s="55" customFormat="1" ht="71.25" customHeight="1" x14ac:dyDescent="0.25">
      <c r="A72" s="46" t="s">
        <v>134</v>
      </c>
      <c r="B72" s="47" t="s">
        <v>165</v>
      </c>
      <c r="C72" s="48" t="s">
        <v>32</v>
      </c>
      <c r="D72" s="49">
        <f>SUM(D73:D74)</f>
        <v>30</v>
      </c>
      <c r="E72" s="50"/>
      <c r="F72" s="51">
        <f>SUM(F73:F74)</f>
        <v>26373000</v>
      </c>
      <c r="G72" s="52"/>
      <c r="H72" s="53">
        <f t="shared" si="0"/>
        <v>26373000</v>
      </c>
      <c r="I72" s="54">
        <v>0</v>
      </c>
      <c r="N72" s="56"/>
    </row>
    <row r="73" spans="1:14" x14ac:dyDescent="0.25">
      <c r="A73" s="39"/>
      <c r="B73" s="59" t="s">
        <v>126</v>
      </c>
      <c r="C73" s="37"/>
      <c r="D73" s="57">
        <v>10</v>
      </c>
      <c r="E73" s="38">
        <v>0.79</v>
      </c>
      <c r="F73" s="42">
        <f>E73*D73*1490000</f>
        <v>11771000</v>
      </c>
      <c r="G73" s="33"/>
      <c r="H73" s="42">
        <f t="shared" ref="H73" si="21">F73</f>
        <v>11771000</v>
      </c>
      <c r="I73" s="34"/>
    </row>
    <row r="74" spans="1:14" x14ac:dyDescent="0.25">
      <c r="A74" s="39"/>
      <c r="B74" s="59" t="s">
        <v>127</v>
      </c>
      <c r="C74" s="37"/>
      <c r="D74" s="41">
        <v>20</v>
      </c>
      <c r="E74" s="38">
        <v>0.49</v>
      </c>
      <c r="F74" s="42">
        <f>E74*D74*1490000</f>
        <v>14602000.000000002</v>
      </c>
      <c r="G74" s="33"/>
      <c r="H74" s="42">
        <f t="shared" ref="H74" si="22">F74</f>
        <v>14602000.000000002</v>
      </c>
      <c r="I74" s="34"/>
    </row>
    <row r="75" spans="1:14" s="118" customFormat="1" ht="116.1" customHeight="1" x14ac:dyDescent="0.25">
      <c r="A75" s="35" t="s">
        <v>92</v>
      </c>
      <c r="B75" s="36" t="s">
        <v>135</v>
      </c>
      <c r="C75" s="115" t="s">
        <v>32</v>
      </c>
      <c r="D75" s="31">
        <f>SUM(D76,D80,D85,D89,D94,D98,D103)</f>
        <v>299</v>
      </c>
      <c r="E75" s="58"/>
      <c r="F75" s="45">
        <f>SUM(F76,F80,F85,F89,F94,F98,F103)</f>
        <v>227955100</v>
      </c>
      <c r="G75" s="45"/>
      <c r="H75" s="45">
        <f>SUM(H76,H80,H85,H89,H94,H98,H103)</f>
        <v>227955100</v>
      </c>
      <c r="I75" s="117"/>
    </row>
    <row r="76" spans="1:14" s="55" customFormat="1" ht="60" customHeight="1" x14ac:dyDescent="0.25">
      <c r="A76" s="46" t="s">
        <v>93</v>
      </c>
      <c r="B76" s="47" t="s">
        <v>160</v>
      </c>
      <c r="C76" s="48" t="s">
        <v>32</v>
      </c>
      <c r="D76" s="49">
        <f>SUM(D77:D79)</f>
        <v>44</v>
      </c>
      <c r="E76" s="50"/>
      <c r="F76" s="51">
        <f>SUM(F77:F79)</f>
        <v>36594400</v>
      </c>
      <c r="G76" s="52"/>
      <c r="H76" s="53">
        <f t="shared" si="0"/>
        <v>36594400</v>
      </c>
      <c r="I76" s="54"/>
      <c r="N76" s="56"/>
    </row>
    <row r="77" spans="1:14" x14ac:dyDescent="0.25">
      <c r="A77" s="39"/>
      <c r="B77" s="59" t="s">
        <v>126</v>
      </c>
      <c r="C77" s="37"/>
      <c r="D77" s="57">
        <v>10</v>
      </c>
      <c r="E77" s="38">
        <v>0.79</v>
      </c>
      <c r="F77" s="42">
        <f>E77*D77*1490000</f>
        <v>11771000</v>
      </c>
      <c r="G77" s="33"/>
      <c r="H77" s="42">
        <f t="shared" ref="H77" si="23">F77</f>
        <v>11771000</v>
      </c>
      <c r="I77" s="34"/>
    </row>
    <row r="78" spans="1:14" x14ac:dyDescent="0.25">
      <c r="A78" s="39"/>
      <c r="B78" s="59" t="s">
        <v>154</v>
      </c>
      <c r="C78" s="37"/>
      <c r="D78" s="41">
        <v>10</v>
      </c>
      <c r="E78" s="38">
        <v>0.49</v>
      </c>
      <c r="F78" s="42">
        <f>E78*D78*1490000</f>
        <v>7301000.0000000009</v>
      </c>
      <c r="G78" s="33"/>
      <c r="H78" s="42">
        <f t="shared" ref="H78:H79" si="24">F78</f>
        <v>7301000.0000000009</v>
      </c>
      <c r="I78" s="34"/>
    </row>
    <row r="79" spans="1:14" ht="15" customHeight="1" x14ac:dyDescent="0.25">
      <c r="A79" s="39"/>
      <c r="B79" s="59" t="s">
        <v>155</v>
      </c>
      <c r="C79" s="37"/>
      <c r="D79" s="41">
        <v>24</v>
      </c>
      <c r="E79" s="38">
        <v>0.49</v>
      </c>
      <c r="F79" s="42">
        <f>E79*D79*1490000</f>
        <v>17522400</v>
      </c>
      <c r="G79" s="33"/>
      <c r="H79" s="42">
        <f t="shared" si="24"/>
        <v>17522400</v>
      </c>
      <c r="I79" s="34"/>
    </row>
    <row r="80" spans="1:14" s="55" customFormat="1" ht="47.25" x14ac:dyDescent="0.25">
      <c r="A80" s="46" t="s">
        <v>94</v>
      </c>
      <c r="B80" s="47" t="s">
        <v>171</v>
      </c>
      <c r="C80" s="48" t="s">
        <v>32</v>
      </c>
      <c r="D80" s="49">
        <f>SUM(D81:D84)</f>
        <v>45</v>
      </c>
      <c r="E80" s="50"/>
      <c r="F80" s="51">
        <f>SUM(F81:F84)</f>
        <v>33748500</v>
      </c>
      <c r="G80" s="52"/>
      <c r="H80" s="53">
        <f t="shared" ref="H80:H126" si="25">F80</f>
        <v>33748500</v>
      </c>
      <c r="I80" s="54"/>
      <c r="N80" s="56"/>
    </row>
    <row r="81" spans="1:14" x14ac:dyDescent="0.25">
      <c r="A81" s="39"/>
      <c r="B81" s="59" t="s">
        <v>126</v>
      </c>
      <c r="C81" s="37"/>
      <c r="D81" s="57">
        <v>10</v>
      </c>
      <c r="E81" s="38">
        <v>0.79</v>
      </c>
      <c r="F81" s="42">
        <f>E81*D81*1490000</f>
        <v>11771000</v>
      </c>
      <c r="G81" s="33"/>
      <c r="H81" s="42">
        <f t="shared" si="25"/>
        <v>11771000</v>
      </c>
      <c r="I81" s="34"/>
    </row>
    <row r="82" spans="1:14" x14ac:dyDescent="0.25">
      <c r="A82" s="39"/>
      <c r="B82" s="59" t="s">
        <v>151</v>
      </c>
      <c r="C82" s="37"/>
      <c r="D82" s="41">
        <v>10</v>
      </c>
      <c r="E82" s="38">
        <v>0.25</v>
      </c>
      <c r="F82" s="42">
        <f>E82*D82*1490000</f>
        <v>3725000</v>
      </c>
      <c r="G82" s="33"/>
      <c r="H82" s="42">
        <f>F82</f>
        <v>3725000</v>
      </c>
      <c r="I82" s="34"/>
    </row>
    <row r="83" spans="1:14" x14ac:dyDescent="0.25">
      <c r="A83" s="39"/>
      <c r="B83" s="59" t="s">
        <v>155</v>
      </c>
      <c r="C83" s="37"/>
      <c r="D83" s="41">
        <v>10</v>
      </c>
      <c r="E83" s="38">
        <v>0.49</v>
      </c>
      <c r="F83" s="42">
        <f>E83*D83*1490000</f>
        <v>7301000.0000000009</v>
      </c>
      <c r="G83" s="33"/>
      <c r="H83" s="42">
        <f t="shared" ref="H83:H84" si="26">F83</f>
        <v>7301000.0000000009</v>
      </c>
      <c r="I83" s="34"/>
    </row>
    <row r="84" spans="1:14" x14ac:dyDescent="0.25">
      <c r="A84" s="39"/>
      <c r="B84" s="70" t="s">
        <v>127</v>
      </c>
      <c r="C84" s="37"/>
      <c r="D84" s="41">
        <v>15</v>
      </c>
      <c r="E84" s="38">
        <v>0.49</v>
      </c>
      <c r="F84" s="42">
        <f>E84*D84*1490000</f>
        <v>10951500</v>
      </c>
      <c r="G84" s="33"/>
      <c r="H84" s="42">
        <f t="shared" si="26"/>
        <v>10951500</v>
      </c>
      <c r="I84" s="34"/>
    </row>
    <row r="85" spans="1:14" s="55" customFormat="1" ht="85.5" customHeight="1" x14ac:dyDescent="0.25">
      <c r="A85" s="46" t="s">
        <v>95</v>
      </c>
      <c r="B85" s="47" t="s">
        <v>136</v>
      </c>
      <c r="C85" s="48" t="s">
        <v>32</v>
      </c>
      <c r="D85" s="49">
        <f>SUM(D86:D88)</f>
        <v>50</v>
      </c>
      <c r="E85" s="50"/>
      <c r="F85" s="51">
        <f>SUM(F86:F88)</f>
        <v>33823000</v>
      </c>
      <c r="G85" s="52"/>
      <c r="H85" s="53">
        <f t="shared" si="25"/>
        <v>33823000</v>
      </c>
      <c r="I85" s="54"/>
      <c r="N85" s="56"/>
    </row>
    <row r="86" spans="1:14" x14ac:dyDescent="0.25">
      <c r="A86" s="39"/>
      <c r="B86" s="59" t="s">
        <v>126</v>
      </c>
      <c r="C86" s="37"/>
      <c r="D86" s="57">
        <v>10</v>
      </c>
      <c r="E86" s="38">
        <v>0.79</v>
      </c>
      <c r="F86" s="42">
        <f>E86*D86*1490000</f>
        <v>11771000</v>
      </c>
      <c r="G86" s="33"/>
      <c r="H86" s="42">
        <f t="shared" ref="H86" si="27">F86</f>
        <v>11771000</v>
      </c>
      <c r="I86" s="34"/>
    </row>
    <row r="87" spans="1:14" x14ac:dyDescent="0.25">
      <c r="A87" s="39"/>
      <c r="B87" s="59" t="s">
        <v>153</v>
      </c>
      <c r="C87" s="37"/>
      <c r="D87" s="41">
        <v>20</v>
      </c>
      <c r="E87" s="38">
        <v>0.25</v>
      </c>
      <c r="F87" s="42">
        <f>E87*D87*1490000</f>
        <v>7450000</v>
      </c>
      <c r="G87" s="33"/>
      <c r="H87" s="42">
        <f t="shared" ref="H87:H88" si="28">F87</f>
        <v>7450000</v>
      </c>
      <c r="I87" s="34"/>
    </row>
    <row r="88" spans="1:14" x14ac:dyDescent="0.25">
      <c r="A88" s="39"/>
      <c r="B88" s="59" t="s">
        <v>150</v>
      </c>
      <c r="C88" s="37"/>
      <c r="D88" s="41">
        <v>20</v>
      </c>
      <c r="E88" s="38">
        <v>0.49</v>
      </c>
      <c r="F88" s="42">
        <f>E88*D88*1490000</f>
        <v>14602000.000000002</v>
      </c>
      <c r="G88" s="33"/>
      <c r="H88" s="42">
        <f t="shared" si="28"/>
        <v>14602000.000000002</v>
      </c>
      <c r="I88" s="34"/>
    </row>
    <row r="89" spans="1:14" s="55" customFormat="1" ht="111" customHeight="1" x14ac:dyDescent="0.25">
      <c r="A89" s="46" t="s">
        <v>98</v>
      </c>
      <c r="B89" s="47" t="s">
        <v>137</v>
      </c>
      <c r="C89" s="48" t="s">
        <v>32</v>
      </c>
      <c r="D89" s="49">
        <f>SUM(D90:D93)</f>
        <v>40</v>
      </c>
      <c r="E89" s="50"/>
      <c r="F89" s="51">
        <f>SUM(F90:F93)</f>
        <v>30098000</v>
      </c>
      <c r="G89" s="52"/>
      <c r="H89" s="53">
        <f t="shared" si="25"/>
        <v>30098000</v>
      </c>
      <c r="I89" s="54"/>
      <c r="N89" s="56"/>
    </row>
    <row r="90" spans="1:14" x14ac:dyDescent="0.25">
      <c r="A90" s="39"/>
      <c r="B90" s="59" t="s">
        <v>126</v>
      </c>
      <c r="C90" s="37"/>
      <c r="D90" s="57">
        <v>10</v>
      </c>
      <c r="E90" s="38">
        <v>0.79</v>
      </c>
      <c r="F90" s="42">
        <f>E90*D90*1490000</f>
        <v>11771000</v>
      </c>
      <c r="G90" s="33"/>
      <c r="H90" s="42">
        <f t="shared" si="25"/>
        <v>11771000</v>
      </c>
      <c r="I90" s="34"/>
    </row>
    <row r="91" spans="1:14" x14ac:dyDescent="0.25">
      <c r="A91" s="39"/>
      <c r="B91" s="59" t="s">
        <v>154</v>
      </c>
      <c r="C91" s="37"/>
      <c r="D91" s="41">
        <v>5</v>
      </c>
      <c r="E91" s="38">
        <v>0.49</v>
      </c>
      <c r="F91" s="42">
        <f>E91*D91*1490000</f>
        <v>3650500.0000000005</v>
      </c>
      <c r="G91" s="33"/>
      <c r="H91" s="42">
        <f>F91</f>
        <v>3650500.0000000005</v>
      </c>
      <c r="I91" s="34"/>
    </row>
    <row r="92" spans="1:14" x14ac:dyDescent="0.25">
      <c r="A92" s="39"/>
      <c r="B92" s="59" t="s">
        <v>155</v>
      </c>
      <c r="C92" s="37"/>
      <c r="D92" s="41">
        <v>15</v>
      </c>
      <c r="E92" s="38">
        <v>0.49</v>
      </c>
      <c r="F92" s="42">
        <f>E92*D92*1490000</f>
        <v>10951500</v>
      </c>
      <c r="G92" s="33"/>
      <c r="H92" s="42">
        <f t="shared" ref="H92:H93" si="29">F92</f>
        <v>10951500</v>
      </c>
      <c r="I92" s="34"/>
    </row>
    <row r="93" spans="1:14" x14ac:dyDescent="0.25">
      <c r="A93" s="39"/>
      <c r="B93" s="59" t="s">
        <v>151</v>
      </c>
      <c r="C93" s="37"/>
      <c r="D93" s="41">
        <v>10</v>
      </c>
      <c r="E93" s="38">
        <v>0.25</v>
      </c>
      <c r="F93" s="42">
        <f>E93*D93*1490000</f>
        <v>3725000</v>
      </c>
      <c r="G93" s="33"/>
      <c r="H93" s="42">
        <f t="shared" si="29"/>
        <v>3725000</v>
      </c>
      <c r="I93" s="34"/>
    </row>
    <row r="94" spans="1:14" s="55" customFormat="1" ht="111" customHeight="1" x14ac:dyDescent="0.25">
      <c r="A94" s="46" t="s">
        <v>96</v>
      </c>
      <c r="B94" s="47" t="s">
        <v>138</v>
      </c>
      <c r="C94" s="48" t="s">
        <v>32</v>
      </c>
      <c r="D94" s="49">
        <f>SUM(D95:D97)</f>
        <v>40</v>
      </c>
      <c r="E94" s="50"/>
      <c r="F94" s="51">
        <f>SUM(F95:F97)</f>
        <v>33674000</v>
      </c>
      <c r="G94" s="52"/>
      <c r="H94" s="53">
        <f t="shared" si="25"/>
        <v>33674000</v>
      </c>
      <c r="I94" s="54"/>
      <c r="N94" s="56"/>
    </row>
    <row r="95" spans="1:14" x14ac:dyDescent="0.25">
      <c r="A95" s="39"/>
      <c r="B95" s="59" t="s">
        <v>126</v>
      </c>
      <c r="C95" s="37"/>
      <c r="D95" s="57">
        <v>10</v>
      </c>
      <c r="E95" s="38">
        <v>0.79</v>
      </c>
      <c r="F95" s="42">
        <f>E95*D95*1490000</f>
        <v>11771000</v>
      </c>
      <c r="G95" s="33"/>
      <c r="H95" s="42">
        <f t="shared" si="25"/>
        <v>11771000</v>
      </c>
      <c r="I95" s="34"/>
      <c r="M95" s="1"/>
    </row>
    <row r="96" spans="1:14" ht="15.75" customHeight="1" x14ac:dyDescent="0.25">
      <c r="A96" s="39"/>
      <c r="B96" s="59" t="s">
        <v>127</v>
      </c>
      <c r="C96" s="37"/>
      <c r="D96" s="41">
        <v>10</v>
      </c>
      <c r="E96" s="38">
        <v>0.49</v>
      </c>
      <c r="F96" s="42">
        <f>E96*D96*1490000</f>
        <v>7301000.0000000009</v>
      </c>
      <c r="G96" s="33"/>
      <c r="H96" s="42">
        <f t="shared" ref="H96:H98" si="30">F96</f>
        <v>7301000.0000000009</v>
      </c>
      <c r="I96" s="34"/>
    </row>
    <row r="97" spans="1:14" ht="14.25" customHeight="1" x14ac:dyDescent="0.25">
      <c r="A97" s="60"/>
      <c r="B97" s="61" t="s">
        <v>152</v>
      </c>
      <c r="C97" s="62"/>
      <c r="D97" s="41">
        <v>20</v>
      </c>
      <c r="E97" s="63">
        <v>0.49</v>
      </c>
      <c r="F97" s="42">
        <f>E97*D97*1490000</f>
        <v>14602000.000000002</v>
      </c>
      <c r="G97" s="33"/>
      <c r="H97" s="42">
        <f t="shared" si="30"/>
        <v>14602000.000000002</v>
      </c>
      <c r="I97" s="34"/>
    </row>
    <row r="98" spans="1:14" s="55" customFormat="1" ht="96.75" customHeight="1" x14ac:dyDescent="0.25">
      <c r="A98" s="46" t="s">
        <v>97</v>
      </c>
      <c r="B98" s="47" t="s">
        <v>139</v>
      </c>
      <c r="C98" s="48" t="s">
        <v>32</v>
      </c>
      <c r="D98" s="49">
        <f>SUM(D99:D102)</f>
        <v>43</v>
      </c>
      <c r="E98" s="50"/>
      <c r="F98" s="51">
        <f>SUM(F99:F102)</f>
        <v>30768500</v>
      </c>
      <c r="G98" s="52"/>
      <c r="H98" s="53">
        <f t="shared" si="30"/>
        <v>30768500</v>
      </c>
      <c r="I98" s="54"/>
      <c r="N98" s="56"/>
    </row>
    <row r="99" spans="1:14" ht="14.25" customHeight="1" x14ac:dyDescent="0.25">
      <c r="A99" s="60"/>
      <c r="B99" s="59" t="s">
        <v>126</v>
      </c>
      <c r="C99" s="37"/>
      <c r="D99" s="57">
        <v>5</v>
      </c>
      <c r="E99" s="38">
        <v>0.79</v>
      </c>
      <c r="F99" s="42">
        <f>E99*D99*1490000</f>
        <v>5885500</v>
      </c>
      <c r="G99" s="33"/>
      <c r="H99" s="42">
        <f t="shared" ref="H99" si="31">F99</f>
        <v>5885500</v>
      </c>
      <c r="I99" s="34"/>
    </row>
    <row r="100" spans="1:14" ht="14.25" customHeight="1" x14ac:dyDescent="0.25">
      <c r="A100" s="60"/>
      <c r="B100" s="59" t="s">
        <v>151</v>
      </c>
      <c r="C100" s="37"/>
      <c r="D100" s="41">
        <v>8</v>
      </c>
      <c r="E100" s="38">
        <v>0.25</v>
      </c>
      <c r="F100" s="42">
        <f>E100*D100*1490000</f>
        <v>2980000</v>
      </c>
      <c r="G100" s="33"/>
      <c r="H100" s="42">
        <f>F100</f>
        <v>2980000</v>
      </c>
      <c r="I100" s="34"/>
    </row>
    <row r="101" spans="1:14" ht="14.25" customHeight="1" x14ac:dyDescent="0.25">
      <c r="A101" s="60"/>
      <c r="B101" s="59" t="s">
        <v>154</v>
      </c>
      <c r="C101" s="37"/>
      <c r="D101" s="41">
        <v>5</v>
      </c>
      <c r="E101" s="38">
        <v>0.49</v>
      </c>
      <c r="F101" s="42">
        <f>E101*D101*1490000</f>
        <v>3650500.0000000005</v>
      </c>
      <c r="G101" s="33"/>
      <c r="H101" s="42">
        <f t="shared" ref="H101:H103" si="32">F101</f>
        <v>3650500.0000000005</v>
      </c>
      <c r="I101" s="34"/>
    </row>
    <row r="102" spans="1:14" ht="14.25" customHeight="1" x14ac:dyDescent="0.25">
      <c r="A102" s="60"/>
      <c r="B102" s="59" t="s">
        <v>152</v>
      </c>
      <c r="C102" s="37"/>
      <c r="D102" s="41">
        <v>25</v>
      </c>
      <c r="E102" s="38">
        <v>0.49</v>
      </c>
      <c r="F102" s="42">
        <f>E102*D102*1490000</f>
        <v>18252500</v>
      </c>
      <c r="G102" s="33"/>
      <c r="H102" s="42">
        <f t="shared" si="32"/>
        <v>18252500</v>
      </c>
      <c r="I102" s="34"/>
    </row>
    <row r="103" spans="1:14" s="55" customFormat="1" ht="72" customHeight="1" x14ac:dyDescent="0.25">
      <c r="A103" s="46" t="s">
        <v>113</v>
      </c>
      <c r="B103" s="47" t="s">
        <v>140</v>
      </c>
      <c r="C103" s="48" t="s">
        <v>32</v>
      </c>
      <c r="D103" s="49">
        <f>SUM(D104:D106)</f>
        <v>37</v>
      </c>
      <c r="E103" s="50"/>
      <c r="F103" s="51">
        <f>SUM(F104:F106)</f>
        <v>29248700</v>
      </c>
      <c r="G103" s="52"/>
      <c r="H103" s="53">
        <f t="shared" si="32"/>
        <v>29248700</v>
      </c>
      <c r="I103" s="54"/>
      <c r="N103" s="56"/>
    </row>
    <row r="104" spans="1:14" ht="14.25" customHeight="1" x14ac:dyDescent="0.25">
      <c r="A104" s="60"/>
      <c r="B104" s="59" t="s">
        <v>126</v>
      </c>
      <c r="C104" s="37"/>
      <c r="D104" s="41">
        <v>5</v>
      </c>
      <c r="E104" s="38">
        <v>0.79</v>
      </c>
      <c r="F104" s="42">
        <f>E104*D104*1490000</f>
        <v>5885500</v>
      </c>
      <c r="G104" s="33"/>
      <c r="H104" s="42">
        <f>F104</f>
        <v>5885500</v>
      </c>
      <c r="I104" s="34"/>
    </row>
    <row r="105" spans="1:14" ht="14.25" customHeight="1" x14ac:dyDescent="0.25">
      <c r="A105" s="60"/>
      <c r="B105" s="59" t="s">
        <v>127</v>
      </c>
      <c r="C105" s="37"/>
      <c r="D105" s="41">
        <v>20</v>
      </c>
      <c r="E105" s="38">
        <v>0.49</v>
      </c>
      <c r="F105" s="42">
        <f>E105*D105*1490000</f>
        <v>14602000.000000002</v>
      </c>
      <c r="G105" s="33"/>
      <c r="H105" s="42">
        <f t="shared" ref="H105:H106" si="33">F105</f>
        <v>14602000.000000002</v>
      </c>
      <c r="I105" s="34"/>
    </row>
    <row r="106" spans="1:14" ht="18" customHeight="1" x14ac:dyDescent="0.25">
      <c r="A106" s="60"/>
      <c r="B106" s="59" t="s">
        <v>155</v>
      </c>
      <c r="C106" s="37"/>
      <c r="D106" s="41">
        <v>12</v>
      </c>
      <c r="E106" s="38">
        <v>0.49</v>
      </c>
      <c r="F106" s="42">
        <f>E106*D106*1490000</f>
        <v>8761200</v>
      </c>
      <c r="G106" s="33"/>
      <c r="H106" s="42">
        <f t="shared" si="33"/>
        <v>8761200</v>
      </c>
      <c r="I106" s="34"/>
    </row>
    <row r="107" spans="1:14" s="118" customFormat="1" ht="71.25" customHeight="1" x14ac:dyDescent="0.25">
      <c r="A107" s="35" t="s">
        <v>99</v>
      </c>
      <c r="B107" s="36" t="s">
        <v>146</v>
      </c>
      <c r="C107" s="115" t="s">
        <v>32</v>
      </c>
      <c r="D107" s="31">
        <f>SUM(D108,D112,D117,D121)</f>
        <v>163</v>
      </c>
      <c r="E107" s="58"/>
      <c r="F107" s="45">
        <f>SUM(F108,F112,F117,F121)</f>
        <v>130091900</v>
      </c>
      <c r="G107" s="45"/>
      <c r="H107" s="45">
        <f>SUM(H108,H112,H117,H121)</f>
        <v>130091900</v>
      </c>
      <c r="I107" s="117"/>
    </row>
    <row r="108" spans="1:14" s="55" customFormat="1" ht="60" customHeight="1" x14ac:dyDescent="0.25">
      <c r="A108" s="46" t="s">
        <v>142</v>
      </c>
      <c r="B108" s="47" t="s">
        <v>147</v>
      </c>
      <c r="C108" s="48" t="s">
        <v>32</v>
      </c>
      <c r="D108" s="49">
        <f>SUM(D109:D111)</f>
        <v>40</v>
      </c>
      <c r="E108" s="50"/>
      <c r="F108" s="51">
        <f>SUM(F109:F111)</f>
        <v>33674000</v>
      </c>
      <c r="G108" s="52"/>
      <c r="H108" s="53">
        <f t="shared" ref="H108:H113" si="34">F108</f>
        <v>33674000</v>
      </c>
      <c r="I108" s="54"/>
      <c r="N108" s="56"/>
    </row>
    <row r="109" spans="1:14" x14ac:dyDescent="0.25">
      <c r="A109" s="39"/>
      <c r="B109" s="59" t="s">
        <v>126</v>
      </c>
      <c r="C109" s="37"/>
      <c r="D109" s="57">
        <v>10</v>
      </c>
      <c r="E109" s="38">
        <v>0.79</v>
      </c>
      <c r="F109" s="42">
        <f>E109*D109*1490000</f>
        <v>11771000</v>
      </c>
      <c r="G109" s="33"/>
      <c r="H109" s="42">
        <f t="shared" si="34"/>
        <v>11771000</v>
      </c>
      <c r="I109" s="34"/>
    </row>
    <row r="110" spans="1:14" x14ac:dyDescent="0.25">
      <c r="A110" s="39"/>
      <c r="B110" s="59" t="s">
        <v>154</v>
      </c>
      <c r="C110" s="37"/>
      <c r="D110" s="41">
        <v>5</v>
      </c>
      <c r="E110" s="38">
        <v>0.49</v>
      </c>
      <c r="F110" s="42">
        <f>E110*D110*1490000</f>
        <v>3650500.0000000005</v>
      </c>
      <c r="G110" s="33"/>
      <c r="H110" s="42">
        <f t="shared" si="34"/>
        <v>3650500.0000000005</v>
      </c>
      <c r="I110" s="34"/>
    </row>
    <row r="111" spans="1:14" ht="15" customHeight="1" x14ac:dyDescent="0.25">
      <c r="A111" s="39"/>
      <c r="B111" s="59" t="s">
        <v>155</v>
      </c>
      <c r="C111" s="37"/>
      <c r="D111" s="41">
        <v>25</v>
      </c>
      <c r="E111" s="38">
        <v>0.49</v>
      </c>
      <c r="F111" s="42">
        <f>E111*D111*1490000</f>
        <v>18252500</v>
      </c>
      <c r="G111" s="33"/>
      <c r="H111" s="42">
        <f t="shared" si="34"/>
        <v>18252500</v>
      </c>
      <c r="I111" s="34"/>
    </row>
    <row r="112" spans="1:14" s="55" customFormat="1" ht="117.75" customHeight="1" x14ac:dyDescent="0.25">
      <c r="A112" s="46" t="s">
        <v>143</v>
      </c>
      <c r="B112" s="47" t="s">
        <v>161</v>
      </c>
      <c r="C112" s="48" t="s">
        <v>32</v>
      </c>
      <c r="D112" s="49">
        <f>SUM(D113:D116)</f>
        <v>39</v>
      </c>
      <c r="E112" s="50"/>
      <c r="F112" s="51">
        <f>SUM(F113:F116)</f>
        <v>32943900</v>
      </c>
      <c r="G112" s="52"/>
      <c r="H112" s="53">
        <f t="shared" si="34"/>
        <v>32943900</v>
      </c>
      <c r="I112" s="54"/>
      <c r="N112" s="56"/>
    </row>
    <row r="113" spans="1:14" x14ac:dyDescent="0.25">
      <c r="A113" s="39"/>
      <c r="B113" s="59" t="s">
        <v>126</v>
      </c>
      <c r="C113" s="37"/>
      <c r="D113" s="57">
        <v>10</v>
      </c>
      <c r="E113" s="38">
        <v>0.79</v>
      </c>
      <c r="F113" s="42">
        <f>E113*D113*1490000</f>
        <v>11771000</v>
      </c>
      <c r="G113" s="33"/>
      <c r="H113" s="42">
        <f t="shared" si="34"/>
        <v>11771000</v>
      </c>
      <c r="I113" s="34"/>
    </row>
    <row r="114" spans="1:14" x14ac:dyDescent="0.25">
      <c r="A114" s="39"/>
      <c r="B114" s="59" t="s">
        <v>154</v>
      </c>
      <c r="C114" s="37"/>
      <c r="D114" s="41">
        <v>5</v>
      </c>
      <c r="E114" s="38">
        <v>0.49</v>
      </c>
      <c r="F114" s="42">
        <f>E114*D114*1490000</f>
        <v>3650500.0000000005</v>
      </c>
      <c r="G114" s="33"/>
      <c r="H114" s="42">
        <f>F114</f>
        <v>3650500.0000000005</v>
      </c>
      <c r="I114" s="34"/>
    </row>
    <row r="115" spans="1:14" x14ac:dyDescent="0.25">
      <c r="A115" s="39"/>
      <c r="B115" s="59" t="s">
        <v>152</v>
      </c>
      <c r="C115" s="37"/>
      <c r="D115" s="41">
        <v>10</v>
      </c>
      <c r="E115" s="38">
        <v>0.49</v>
      </c>
      <c r="F115" s="42">
        <f>E115*D115*1490000</f>
        <v>7301000.0000000009</v>
      </c>
      <c r="G115" s="33"/>
      <c r="H115" s="42">
        <f t="shared" ref="H115:H122" si="35">F115</f>
        <v>7301000.0000000009</v>
      </c>
      <c r="I115" s="34"/>
    </row>
    <row r="116" spans="1:14" x14ac:dyDescent="0.25">
      <c r="A116" s="39"/>
      <c r="B116" s="70" t="s">
        <v>150</v>
      </c>
      <c r="C116" s="37"/>
      <c r="D116" s="41">
        <v>14</v>
      </c>
      <c r="E116" s="38">
        <v>0.49</v>
      </c>
      <c r="F116" s="42">
        <f>E116*D116*1490000</f>
        <v>10221400</v>
      </c>
      <c r="G116" s="33"/>
      <c r="H116" s="42">
        <f t="shared" si="35"/>
        <v>10221400</v>
      </c>
      <c r="I116" s="34"/>
    </row>
    <row r="117" spans="1:14" s="55" customFormat="1" ht="85.5" customHeight="1" x14ac:dyDescent="0.25">
      <c r="A117" s="46" t="s">
        <v>144</v>
      </c>
      <c r="B117" s="47" t="s">
        <v>148</v>
      </c>
      <c r="C117" s="48" t="s">
        <v>32</v>
      </c>
      <c r="D117" s="49">
        <f>SUM(D118:D120)</f>
        <v>49</v>
      </c>
      <c r="E117" s="50"/>
      <c r="F117" s="51">
        <f>SUM(F118:F120)</f>
        <v>33450500</v>
      </c>
      <c r="G117" s="52"/>
      <c r="H117" s="53">
        <f t="shared" si="35"/>
        <v>33450500</v>
      </c>
      <c r="I117" s="54"/>
      <c r="N117" s="56"/>
    </row>
    <row r="118" spans="1:14" x14ac:dyDescent="0.25">
      <c r="A118" s="39"/>
      <c r="B118" s="59" t="s">
        <v>126</v>
      </c>
      <c r="C118" s="37"/>
      <c r="D118" s="57">
        <v>10</v>
      </c>
      <c r="E118" s="38">
        <v>0.79</v>
      </c>
      <c r="F118" s="42">
        <f>E118*D118*1490000</f>
        <v>11771000</v>
      </c>
      <c r="G118" s="33"/>
      <c r="H118" s="42">
        <f t="shared" si="35"/>
        <v>11771000</v>
      </c>
      <c r="I118" s="34"/>
    </row>
    <row r="119" spans="1:14" x14ac:dyDescent="0.25">
      <c r="A119" s="39"/>
      <c r="B119" s="59" t="s">
        <v>153</v>
      </c>
      <c r="C119" s="37"/>
      <c r="D119" s="41">
        <v>19</v>
      </c>
      <c r="E119" s="38">
        <v>0.25</v>
      </c>
      <c r="F119" s="42">
        <f>E119*D119*1490000</f>
        <v>7077500</v>
      </c>
      <c r="G119" s="33"/>
      <c r="H119" s="42">
        <f t="shared" si="35"/>
        <v>7077500</v>
      </c>
      <c r="I119" s="34"/>
    </row>
    <row r="120" spans="1:14" x14ac:dyDescent="0.25">
      <c r="A120" s="39"/>
      <c r="B120" s="59" t="s">
        <v>150</v>
      </c>
      <c r="C120" s="37"/>
      <c r="D120" s="41">
        <v>20</v>
      </c>
      <c r="E120" s="38">
        <v>0.49</v>
      </c>
      <c r="F120" s="42">
        <f>E120*D120*1490000</f>
        <v>14602000.000000002</v>
      </c>
      <c r="G120" s="33"/>
      <c r="H120" s="42">
        <f t="shared" si="35"/>
        <v>14602000.000000002</v>
      </c>
      <c r="I120" s="34"/>
    </row>
    <row r="121" spans="1:14" s="55" customFormat="1" ht="111" customHeight="1" x14ac:dyDescent="0.25">
      <c r="A121" s="46" t="s">
        <v>145</v>
      </c>
      <c r="B121" s="47" t="s">
        <v>149</v>
      </c>
      <c r="C121" s="48" t="s">
        <v>32</v>
      </c>
      <c r="D121" s="49">
        <f>SUM(D122:D125)</f>
        <v>35</v>
      </c>
      <c r="E121" s="50"/>
      <c r="F121" s="51">
        <f>SUM(F122:F125)</f>
        <v>30023500</v>
      </c>
      <c r="G121" s="52"/>
      <c r="H121" s="53">
        <f t="shared" si="35"/>
        <v>30023500</v>
      </c>
      <c r="I121" s="54"/>
      <c r="N121" s="56"/>
    </row>
    <row r="122" spans="1:14" x14ac:dyDescent="0.25">
      <c r="A122" s="39"/>
      <c r="B122" s="59" t="s">
        <v>126</v>
      </c>
      <c r="C122" s="37"/>
      <c r="D122" s="57">
        <v>10</v>
      </c>
      <c r="E122" s="38">
        <v>0.79</v>
      </c>
      <c r="F122" s="42">
        <f>E122*D122*1490000</f>
        <v>11771000</v>
      </c>
      <c r="G122" s="33"/>
      <c r="H122" s="42">
        <f t="shared" si="35"/>
        <v>11771000</v>
      </c>
      <c r="I122" s="34"/>
    </row>
    <row r="123" spans="1:14" x14ac:dyDescent="0.25">
      <c r="A123" s="39"/>
      <c r="B123" s="59" t="s">
        <v>154</v>
      </c>
      <c r="C123" s="37"/>
      <c r="D123" s="41">
        <v>5</v>
      </c>
      <c r="E123" s="38">
        <v>0.49</v>
      </c>
      <c r="F123" s="42">
        <f>E123*D123*1490000</f>
        <v>3650500.0000000005</v>
      </c>
      <c r="G123" s="33"/>
      <c r="H123" s="42">
        <f>F123</f>
        <v>3650500.0000000005</v>
      </c>
      <c r="I123" s="34"/>
    </row>
    <row r="124" spans="1:14" x14ac:dyDescent="0.25">
      <c r="A124" s="39"/>
      <c r="B124" s="59" t="s">
        <v>150</v>
      </c>
      <c r="C124" s="37"/>
      <c r="D124" s="41">
        <v>10</v>
      </c>
      <c r="E124" s="38">
        <v>0.49</v>
      </c>
      <c r="F124" s="42">
        <f>E124*D124*1490000</f>
        <v>7301000.0000000009</v>
      </c>
      <c r="G124" s="33"/>
      <c r="H124" s="42">
        <f t="shared" ref="H124:H125" si="36">F124</f>
        <v>7301000.0000000009</v>
      </c>
      <c r="I124" s="34"/>
    </row>
    <row r="125" spans="1:14" x14ac:dyDescent="0.25">
      <c r="A125" s="39"/>
      <c r="B125" s="59" t="s">
        <v>127</v>
      </c>
      <c r="C125" s="37"/>
      <c r="D125" s="41">
        <v>10</v>
      </c>
      <c r="E125" s="38">
        <v>0.49</v>
      </c>
      <c r="F125" s="42">
        <f>E125*D125*1490000</f>
        <v>7301000.0000000009</v>
      </c>
      <c r="G125" s="33"/>
      <c r="H125" s="42">
        <f t="shared" si="36"/>
        <v>7301000.0000000009</v>
      </c>
      <c r="I125" s="34"/>
    </row>
    <row r="126" spans="1:14" s="118" customFormat="1" ht="41.25" customHeight="1" x14ac:dyDescent="0.25">
      <c r="A126" s="35" t="s">
        <v>141</v>
      </c>
      <c r="B126" s="36" t="s">
        <v>31</v>
      </c>
      <c r="C126" s="115" t="s">
        <v>32</v>
      </c>
      <c r="D126" s="31">
        <f>SUM(D127:D128)</f>
        <v>10</v>
      </c>
      <c r="E126" s="58"/>
      <c r="F126" s="45">
        <f>SUM(F127:F128)</f>
        <v>9536000</v>
      </c>
      <c r="G126" s="116"/>
      <c r="H126" s="45">
        <f t="shared" si="25"/>
        <v>9536000</v>
      </c>
      <c r="I126" s="117"/>
    </row>
    <row r="127" spans="1:14" s="118" customFormat="1" ht="41.25" customHeight="1" x14ac:dyDescent="0.25">
      <c r="A127" s="35"/>
      <c r="B127" s="69" t="s">
        <v>126</v>
      </c>
      <c r="C127" s="71"/>
      <c r="D127" s="41">
        <v>5</v>
      </c>
      <c r="E127" s="72">
        <v>0.79</v>
      </c>
      <c r="F127" s="42">
        <f>E127*D127*1490000</f>
        <v>5885500</v>
      </c>
      <c r="G127" s="33"/>
      <c r="H127" s="42">
        <f t="shared" ref="H127:H128" si="37">F127</f>
        <v>5885500</v>
      </c>
      <c r="I127" s="117"/>
    </row>
    <row r="128" spans="1:14" ht="18.75" customHeight="1" x14ac:dyDescent="0.25">
      <c r="A128" s="28"/>
      <c r="B128" s="59" t="s">
        <v>127</v>
      </c>
      <c r="C128" s="37"/>
      <c r="D128" s="41">
        <v>5</v>
      </c>
      <c r="E128" s="38">
        <v>0.49</v>
      </c>
      <c r="F128" s="42">
        <f>E128*D128*1490000</f>
        <v>3650500.0000000005</v>
      </c>
      <c r="G128" s="33"/>
      <c r="H128" s="42">
        <f t="shared" si="37"/>
        <v>3650500.0000000005</v>
      </c>
      <c r="I128" s="34"/>
    </row>
    <row r="129" spans="1:12" ht="32.25" customHeight="1" x14ac:dyDescent="0.25">
      <c r="A129" s="28">
        <v>2</v>
      </c>
      <c r="B129" s="169" t="s">
        <v>40</v>
      </c>
      <c r="C129" s="169"/>
      <c r="D129" s="169"/>
      <c r="E129" s="169"/>
      <c r="F129" s="73">
        <v>0</v>
      </c>
      <c r="G129" s="74">
        <v>0</v>
      </c>
      <c r="H129" s="73">
        <v>0</v>
      </c>
      <c r="I129" s="74">
        <v>0</v>
      </c>
    </row>
    <row r="130" spans="1:12" x14ac:dyDescent="0.25">
      <c r="A130" s="28">
        <v>3</v>
      </c>
      <c r="B130" s="75" t="s">
        <v>42</v>
      </c>
      <c r="C130" s="76"/>
      <c r="D130" s="77"/>
      <c r="E130" s="78"/>
      <c r="F130" s="79">
        <v>0</v>
      </c>
      <c r="G130" s="79">
        <v>0</v>
      </c>
      <c r="H130" s="79">
        <v>0</v>
      </c>
      <c r="I130" s="79">
        <v>0</v>
      </c>
    </row>
    <row r="131" spans="1:12" x14ac:dyDescent="0.25">
      <c r="A131" s="28">
        <v>4</v>
      </c>
      <c r="B131" s="75" t="s">
        <v>43</v>
      </c>
      <c r="C131" s="81"/>
      <c r="D131" s="82"/>
      <c r="E131" s="83"/>
      <c r="F131" s="32">
        <v>0</v>
      </c>
      <c r="G131" s="84">
        <v>0</v>
      </c>
      <c r="H131" s="32">
        <v>0</v>
      </c>
      <c r="I131" s="84">
        <v>0</v>
      </c>
    </row>
    <row r="132" spans="1:12" ht="43.5" customHeight="1" x14ac:dyDescent="0.25">
      <c r="A132" s="7">
        <v>5</v>
      </c>
      <c r="B132" s="120" t="s">
        <v>44</v>
      </c>
      <c r="C132" s="22" t="s">
        <v>124</v>
      </c>
      <c r="D132" s="119">
        <v>1</v>
      </c>
      <c r="E132" s="32">
        <v>1003000</v>
      </c>
      <c r="F132" s="32">
        <f>D132*E132</f>
        <v>1003000</v>
      </c>
      <c r="G132" s="84">
        <v>0</v>
      </c>
      <c r="H132" s="32">
        <f>F132</f>
        <v>1003000</v>
      </c>
      <c r="I132" s="84">
        <f>G132</f>
        <v>0</v>
      </c>
      <c r="K132" s="1"/>
      <c r="L132" s="23">
        <f>521500</f>
        <v>521500</v>
      </c>
    </row>
    <row r="133" spans="1:12" x14ac:dyDescent="0.25">
      <c r="A133" s="28">
        <v>6</v>
      </c>
      <c r="B133" s="88" t="s">
        <v>48</v>
      </c>
      <c r="C133" s="85"/>
      <c r="D133" s="86"/>
      <c r="E133" s="87"/>
      <c r="F133" s="32">
        <v>0</v>
      </c>
      <c r="G133" s="84">
        <v>0</v>
      </c>
      <c r="H133" s="32">
        <v>0</v>
      </c>
      <c r="I133" s="84">
        <v>0</v>
      </c>
    </row>
    <row r="134" spans="1:12" x14ac:dyDescent="0.25">
      <c r="A134" s="28">
        <v>7</v>
      </c>
      <c r="B134" s="89" t="s">
        <v>60</v>
      </c>
      <c r="C134" s="71"/>
      <c r="D134" s="90"/>
      <c r="E134" s="90"/>
      <c r="F134" s="32">
        <f>+F135+F136+F137+F138</f>
        <v>7250000</v>
      </c>
      <c r="G134" s="32">
        <f t="shared" ref="G134:I134" si="38">+G135+G136+G137+G138</f>
        <v>0</v>
      </c>
      <c r="H134" s="32">
        <f t="shared" si="38"/>
        <v>7250000</v>
      </c>
      <c r="I134" s="84">
        <f t="shared" si="38"/>
        <v>0</v>
      </c>
    </row>
    <row r="135" spans="1:12" ht="85.5" customHeight="1" x14ac:dyDescent="0.25">
      <c r="A135" s="17" t="s">
        <v>100</v>
      </c>
      <c r="B135" s="18" t="s">
        <v>120</v>
      </c>
      <c r="C135" s="37" t="s">
        <v>7</v>
      </c>
      <c r="D135" s="91">
        <v>3</v>
      </c>
      <c r="E135" s="91">
        <v>700000</v>
      </c>
      <c r="F135" s="45">
        <f>D135*E135</f>
        <v>2100000</v>
      </c>
      <c r="G135" s="92">
        <v>0</v>
      </c>
      <c r="H135" s="45">
        <v>2100000</v>
      </c>
      <c r="I135" s="92">
        <v>0</v>
      </c>
    </row>
    <row r="136" spans="1:12" ht="87" customHeight="1" x14ac:dyDescent="0.25">
      <c r="A136" s="17" t="s">
        <v>101</v>
      </c>
      <c r="B136" s="18" t="s">
        <v>121</v>
      </c>
      <c r="C136" s="37" t="s">
        <v>7</v>
      </c>
      <c r="D136" s="91">
        <v>3</v>
      </c>
      <c r="E136" s="91">
        <v>350000</v>
      </c>
      <c r="F136" s="45">
        <f t="shared" ref="F136:F137" si="39">D136*E136</f>
        <v>1050000</v>
      </c>
      <c r="G136" s="92">
        <v>0</v>
      </c>
      <c r="H136" s="45">
        <v>1050000</v>
      </c>
      <c r="I136" s="92">
        <v>0</v>
      </c>
    </row>
    <row r="137" spans="1:12" ht="105" customHeight="1" x14ac:dyDescent="0.25">
      <c r="A137" s="17" t="s">
        <v>102</v>
      </c>
      <c r="B137" s="18" t="s">
        <v>122</v>
      </c>
      <c r="C137" s="37" t="s">
        <v>7</v>
      </c>
      <c r="D137" s="91">
        <v>3</v>
      </c>
      <c r="E137" s="91">
        <v>700000</v>
      </c>
      <c r="F137" s="45">
        <f t="shared" si="39"/>
        <v>2100000</v>
      </c>
      <c r="G137" s="92">
        <v>0</v>
      </c>
      <c r="H137" s="45">
        <v>2100000</v>
      </c>
      <c r="I137" s="92">
        <v>0</v>
      </c>
    </row>
    <row r="138" spans="1:12" ht="31.5" x14ac:dyDescent="0.25">
      <c r="A138" s="19" t="s">
        <v>103</v>
      </c>
      <c r="B138" s="20" t="s">
        <v>123</v>
      </c>
      <c r="C138" s="37"/>
      <c r="D138" s="41"/>
      <c r="E138" s="41"/>
      <c r="F138" s="93">
        <f>+SUM(F139:F141)</f>
        <v>2000000</v>
      </c>
      <c r="G138" s="93"/>
      <c r="H138" s="93">
        <f t="shared" ref="H138:I138" si="40">+SUM(H139:H141)</f>
        <v>2000000</v>
      </c>
      <c r="I138" s="92">
        <f t="shared" si="40"/>
        <v>0</v>
      </c>
    </row>
    <row r="139" spans="1:12" x14ac:dyDescent="0.25">
      <c r="A139" s="17" t="s">
        <v>106</v>
      </c>
      <c r="B139" s="21" t="s">
        <v>104</v>
      </c>
      <c r="C139" s="37" t="s">
        <v>7</v>
      </c>
      <c r="D139" s="41">
        <v>1</v>
      </c>
      <c r="E139" s="94">
        <v>700000</v>
      </c>
      <c r="F139" s="94">
        <f t="shared" ref="F139:F141" si="41">D139*E139</f>
        <v>700000</v>
      </c>
      <c r="G139" s="95"/>
      <c r="H139" s="94">
        <f>F139</f>
        <v>700000</v>
      </c>
      <c r="I139" s="95"/>
    </row>
    <row r="140" spans="1:12" x14ac:dyDescent="0.25">
      <c r="A140" s="17" t="s">
        <v>107</v>
      </c>
      <c r="B140" s="21" t="s">
        <v>64</v>
      </c>
      <c r="C140" s="37" t="s">
        <v>7</v>
      </c>
      <c r="D140" s="41">
        <v>2</v>
      </c>
      <c r="E140" s="94">
        <v>500000</v>
      </c>
      <c r="F140" s="94">
        <f t="shared" si="41"/>
        <v>1000000</v>
      </c>
      <c r="G140" s="95"/>
      <c r="H140" s="94">
        <f t="shared" ref="H140:H141" si="42">F140</f>
        <v>1000000</v>
      </c>
      <c r="I140" s="95"/>
    </row>
    <row r="141" spans="1:12" x14ac:dyDescent="0.25">
      <c r="A141" s="17" t="s">
        <v>108</v>
      </c>
      <c r="B141" s="21" t="s">
        <v>4</v>
      </c>
      <c r="C141" s="37" t="s">
        <v>7</v>
      </c>
      <c r="D141" s="41">
        <v>1</v>
      </c>
      <c r="E141" s="94">
        <v>300000</v>
      </c>
      <c r="F141" s="94">
        <f t="shared" si="41"/>
        <v>300000</v>
      </c>
      <c r="G141" s="95"/>
      <c r="H141" s="94">
        <f t="shared" si="42"/>
        <v>300000</v>
      </c>
      <c r="I141" s="95"/>
    </row>
    <row r="142" spans="1:12" x14ac:dyDescent="0.25">
      <c r="A142" s="96">
        <v>8</v>
      </c>
      <c r="B142" s="75" t="s">
        <v>47</v>
      </c>
      <c r="C142" s="97"/>
      <c r="D142" s="98"/>
      <c r="E142" s="98"/>
      <c r="F142" s="32">
        <v>0</v>
      </c>
      <c r="G142" s="84">
        <v>0</v>
      </c>
      <c r="H142" s="32">
        <v>0</v>
      </c>
      <c r="I142" s="84">
        <v>0</v>
      </c>
    </row>
    <row r="143" spans="1:12" x14ac:dyDescent="0.25">
      <c r="A143" s="96">
        <v>9</v>
      </c>
      <c r="B143" s="88" t="s">
        <v>45</v>
      </c>
      <c r="C143" s="37"/>
      <c r="D143" s="99"/>
      <c r="E143" s="99"/>
      <c r="F143" s="32">
        <v>0</v>
      </c>
      <c r="G143" s="84">
        <v>0</v>
      </c>
      <c r="H143" s="32">
        <v>0</v>
      </c>
      <c r="I143" s="84">
        <v>0</v>
      </c>
    </row>
    <row r="144" spans="1:12" x14ac:dyDescent="0.25">
      <c r="A144" s="96">
        <v>10</v>
      </c>
      <c r="B144" s="88" t="s">
        <v>46</v>
      </c>
      <c r="C144" s="71"/>
      <c r="D144" s="90"/>
      <c r="E144" s="90"/>
      <c r="F144" s="32">
        <v>0</v>
      </c>
      <c r="G144" s="84">
        <v>0</v>
      </c>
      <c r="H144" s="32">
        <v>0</v>
      </c>
      <c r="I144" s="84">
        <v>0</v>
      </c>
    </row>
    <row r="145" spans="1:12" x14ac:dyDescent="0.25">
      <c r="A145" s="11">
        <v>11</v>
      </c>
      <c r="B145" s="101" t="s">
        <v>41</v>
      </c>
      <c r="C145" s="71"/>
      <c r="D145" s="100"/>
      <c r="E145" s="100"/>
      <c r="F145" s="32">
        <v>0</v>
      </c>
      <c r="G145" s="84">
        <v>0</v>
      </c>
      <c r="H145" s="32">
        <v>0</v>
      </c>
      <c r="I145" s="84">
        <v>0</v>
      </c>
    </row>
    <row r="146" spans="1:12" x14ac:dyDescent="0.25">
      <c r="A146" s="11"/>
      <c r="B146" s="102" t="s">
        <v>52</v>
      </c>
      <c r="C146" s="71"/>
      <c r="D146" s="90"/>
      <c r="E146" s="90"/>
      <c r="F146" s="103">
        <f>F145+F144+F143+F142+F134+F133+F132+F131+F130+F129+F5</f>
        <v>858000000</v>
      </c>
      <c r="G146" s="103">
        <f>G145+G144+G143+G142+G134+G133+G132+G131+G130+G129+G5</f>
        <v>0</v>
      </c>
      <c r="H146" s="103">
        <f>H145+H144+H143+H142+H134+H133+H132+H131+H130+H129+H5</f>
        <v>858000000</v>
      </c>
      <c r="I146" s="103">
        <f>I145+I144+I143+I142+I134+I133+I132+I131+I130+I129+I5</f>
        <v>0</v>
      </c>
    </row>
    <row r="147" spans="1:12" x14ac:dyDescent="0.25">
      <c r="A147" s="11">
        <v>12</v>
      </c>
      <c r="B147" s="89" t="s">
        <v>9</v>
      </c>
      <c r="C147" s="37"/>
      <c r="D147" s="90"/>
      <c r="E147" s="90"/>
      <c r="F147" s="93">
        <f>ROUNDDOWN(+F146*0.05,-6)</f>
        <v>42000000</v>
      </c>
      <c r="G147" s="104"/>
      <c r="H147" s="93">
        <f>F147</f>
        <v>42000000</v>
      </c>
      <c r="I147" s="98"/>
    </row>
    <row r="148" spans="1:12" x14ac:dyDescent="0.25">
      <c r="A148" s="12"/>
      <c r="B148" s="105" t="s">
        <v>53</v>
      </c>
      <c r="C148" s="106"/>
      <c r="D148" s="106"/>
      <c r="E148" s="107"/>
      <c r="F148" s="108">
        <f>F146+F147</f>
        <v>900000000</v>
      </c>
      <c r="G148" s="104"/>
      <c r="H148" s="108">
        <f>F148</f>
        <v>900000000</v>
      </c>
      <c r="I148" s="98"/>
      <c r="K148" s="43">
        <f>900000000-F148</f>
        <v>0</v>
      </c>
      <c r="L148" s="43"/>
    </row>
    <row r="149" spans="1:12" ht="23.25" customHeight="1" x14ac:dyDescent="0.25">
      <c r="A149" s="12"/>
      <c r="B149" s="161" t="s">
        <v>125</v>
      </c>
      <c r="C149" s="162"/>
      <c r="D149" s="162"/>
      <c r="E149" s="162"/>
      <c r="F149" s="162"/>
      <c r="G149" s="162"/>
      <c r="H149" s="162"/>
      <c r="I149" s="163"/>
    </row>
    <row r="150" spans="1:12" x14ac:dyDescent="0.25">
      <c r="A150" s="24"/>
      <c r="B150" s="14"/>
      <c r="C150" s="25"/>
      <c r="D150" s="14"/>
      <c r="E150" s="14"/>
      <c r="F150" s="109"/>
      <c r="G150" s="110"/>
      <c r="H150" s="110"/>
      <c r="I150" s="110"/>
    </row>
    <row r="151" spans="1:12" ht="28.5" customHeight="1" x14ac:dyDescent="0.25">
      <c r="A151" s="164" t="s">
        <v>66</v>
      </c>
      <c r="B151" s="164"/>
      <c r="C151" s="164"/>
      <c r="D151" s="160" t="s">
        <v>67</v>
      </c>
      <c r="E151" s="160"/>
      <c r="F151" s="160"/>
      <c r="G151" s="164" t="s">
        <v>69</v>
      </c>
      <c r="H151" s="164"/>
      <c r="I151" s="164"/>
    </row>
    <row r="152" spans="1:12" x14ac:dyDescent="0.25">
      <c r="A152" s="164" t="s">
        <v>65</v>
      </c>
      <c r="B152" s="164"/>
      <c r="C152" s="164"/>
      <c r="D152" s="160" t="s">
        <v>68</v>
      </c>
      <c r="E152" s="160"/>
      <c r="F152" s="160"/>
      <c r="G152" s="165" t="s">
        <v>70</v>
      </c>
      <c r="H152" s="165"/>
      <c r="I152" s="165"/>
    </row>
    <row r="153" spans="1:12" x14ac:dyDescent="0.25">
      <c r="A153" s="165" t="s">
        <v>29</v>
      </c>
      <c r="B153" s="165"/>
      <c r="C153" s="165"/>
      <c r="D153" s="111"/>
      <c r="E153" s="112"/>
      <c r="F153" s="109"/>
      <c r="G153" s="167"/>
      <c r="H153" s="167"/>
      <c r="I153" s="167"/>
    </row>
    <row r="154" spans="1:12" x14ac:dyDescent="0.25">
      <c r="A154" s="24"/>
      <c r="B154" s="14"/>
      <c r="C154" s="25"/>
      <c r="D154" s="14"/>
      <c r="E154" s="113"/>
      <c r="F154" s="109"/>
      <c r="G154" s="167"/>
      <c r="H154" s="167"/>
      <c r="I154" s="167"/>
    </row>
    <row r="155" spans="1:12" x14ac:dyDescent="0.25">
      <c r="A155" s="24"/>
      <c r="B155" s="14"/>
      <c r="C155" s="25"/>
      <c r="D155" s="14"/>
      <c r="E155" s="113"/>
      <c r="F155" s="109"/>
      <c r="G155" s="167"/>
      <c r="H155" s="167"/>
      <c r="I155" s="167"/>
    </row>
    <row r="156" spans="1:12" x14ac:dyDescent="0.25">
      <c r="A156" s="24"/>
      <c r="B156" s="14"/>
      <c r="C156" s="25"/>
      <c r="D156" s="14"/>
      <c r="E156" s="14"/>
      <c r="F156" s="109"/>
      <c r="G156" s="167"/>
      <c r="H156" s="167"/>
      <c r="I156" s="167"/>
    </row>
    <row r="157" spans="1:12" x14ac:dyDescent="0.25">
      <c r="A157" s="24"/>
      <c r="B157" s="14"/>
      <c r="C157" s="25"/>
      <c r="D157" s="14"/>
      <c r="E157" s="14"/>
      <c r="F157" s="109"/>
      <c r="G157" s="167"/>
      <c r="H157" s="167"/>
      <c r="I157" s="167"/>
    </row>
    <row r="158" spans="1:12" x14ac:dyDescent="0.25">
      <c r="A158" s="160" t="s">
        <v>71</v>
      </c>
      <c r="B158" s="160"/>
      <c r="C158" s="160"/>
      <c r="D158" s="160" t="s">
        <v>72</v>
      </c>
      <c r="E158" s="160"/>
      <c r="F158" s="160"/>
      <c r="G158" s="166" t="s">
        <v>126</v>
      </c>
      <c r="H158" s="167"/>
      <c r="I158" s="167"/>
    </row>
    <row r="159" spans="1:12" x14ac:dyDescent="0.25">
      <c r="A159" s="160"/>
      <c r="B159" s="160"/>
      <c r="C159" s="160"/>
      <c r="D159" s="160"/>
      <c r="E159" s="160"/>
      <c r="F159" s="160"/>
      <c r="G159" s="160"/>
      <c r="H159" s="160"/>
      <c r="I159" s="160"/>
    </row>
  </sheetData>
  <mergeCells count="23">
    <mergeCell ref="H3:I3"/>
    <mergeCell ref="A1:I1"/>
    <mergeCell ref="B129:E129"/>
    <mergeCell ref="A151:C151"/>
    <mergeCell ref="D151:F151"/>
    <mergeCell ref="G151:I151"/>
    <mergeCell ref="A3:A4"/>
    <mergeCell ref="B3:B4"/>
    <mergeCell ref="C3:C4"/>
    <mergeCell ref="D3:D4"/>
    <mergeCell ref="E3:E4"/>
    <mergeCell ref="F3:G3"/>
    <mergeCell ref="F2:I2"/>
    <mergeCell ref="A159:I159"/>
    <mergeCell ref="B149:I149"/>
    <mergeCell ref="A152:C152"/>
    <mergeCell ref="D152:F152"/>
    <mergeCell ref="G152:I152"/>
    <mergeCell ref="A153:C153"/>
    <mergeCell ref="A158:C158"/>
    <mergeCell ref="D158:F158"/>
    <mergeCell ref="G158:I158"/>
    <mergeCell ref="G153:I157"/>
  </mergeCells>
  <conditionalFormatting sqref="E81:E82 B134:F134 G131:I134 A129:A131 F53:F55 F49:F51 B11:F13 H10:H13 H41:H43 A41:D42 F41:F43 H49:H51 A49:D51 A104:A106 B104 H104:H106 E104 F104:F106 C104:D106 A53:D54 H53:H55 H77:H79 F77:F79 A77:D78 F73 E74:F74 H81:H84 H86:H88 F86:F88 A86:A88 C86:D88 H90:H93 H95:H97 F95:F97 A95:D97 I134:I137 C135:F141 G135:H137 H15:H17 A15:F17 H19:H21 B19 F19:F21 D19:D21 H23:H25 B23:B25 F23:F25 D23:D25 H27:H29 F27:F29 B27:B28 D27:D29 B31:D33 E32:E33 F31:F33 H31:H33 A45:D47 H45:H47 F45:F47 H57:H59 F57:F59 A57:D57 A73:D74 H73:H74 A66:D68 F66:F68 H66:H68 A133:A134 A142:A143 G138:I145 B143:F145 B21 A43 C43:D43 A55 C55:D55 A59:D59 A58 C58:D58 A79 C79:D79">
    <cfRule type="containsText" dxfId="713" priority="1315" stopIfTrue="1" operator="containsText" text="Thành viên chính">
      <formula>NOT(ISERROR(SEARCH("Thành viên chính",A10)))</formula>
    </cfRule>
    <cfRule type="containsText" dxfId="712" priority="1316" stopIfTrue="1" operator="containsText" text="Thư ký khoa học">
      <formula>NOT(ISERROR(SEARCH("Thư ký khoa học",A10)))</formula>
    </cfRule>
    <cfRule type="containsText" dxfId="711" priority="1317" stopIfTrue="1" operator="containsText" text="Chủ nhiệm đề tài">
      <formula>NOT(ISERROR(SEARCH("Chủ nhiệm đề tài",A10)))</formula>
    </cfRule>
  </conditionalFormatting>
  <conditionalFormatting sqref="F81:F84">
    <cfRule type="containsText" dxfId="710" priority="1306" stopIfTrue="1" operator="containsText" text="Thành viên chính">
      <formula>NOT(ISERROR(SEARCH("Thành viên chính",F81)))</formula>
    </cfRule>
    <cfRule type="containsText" dxfId="709" priority="1307" stopIfTrue="1" operator="containsText" text="Thư ký khoa học">
      <formula>NOT(ISERROR(SEARCH("Thư ký khoa học",F81)))</formula>
    </cfRule>
    <cfRule type="containsText" dxfId="708" priority="1308" stopIfTrue="1" operator="containsText" text="Chủ nhiệm đề tài">
      <formula>NOT(ISERROR(SEARCH("Chủ nhiệm đề tài",F81)))</formula>
    </cfRule>
  </conditionalFormatting>
  <conditionalFormatting sqref="C154:D157 F153:F155 B150:I150 A158 D158 G158 G153">
    <cfRule type="containsText" dxfId="707" priority="1300" stopIfTrue="1" operator="containsText" text="Thành viên chính">
      <formula>NOT(ISERROR(SEARCH("Thành viên chính",A150)))</formula>
    </cfRule>
    <cfRule type="containsText" dxfId="706" priority="1301" stopIfTrue="1" operator="containsText" text="Thư ký khoa học">
      <formula>NOT(ISERROR(SEARCH("Thư ký khoa học",A150)))</formula>
    </cfRule>
    <cfRule type="containsText" dxfId="705" priority="1302" stopIfTrue="1" operator="containsText" text="Chủ nhiệm đề tài">
      <formula>NOT(ISERROR(SEARCH("Chủ nhiệm đề tài",A150)))</formula>
    </cfRule>
  </conditionalFormatting>
  <conditionalFormatting sqref="D3:F3 F4:G4">
    <cfRule type="containsText" dxfId="704" priority="1759" stopIfTrue="1" operator="containsText" text="Thành viên chính">
      <formula>NOT(ISERROR(SEARCH("Thành viên chính",D3)))</formula>
    </cfRule>
    <cfRule type="containsText" dxfId="703" priority="1760" stopIfTrue="1" operator="containsText" text="Thư ký khoa học">
      <formula>NOT(ISERROR(SEARCH("Thư ký khoa học",D3)))</formula>
    </cfRule>
    <cfRule type="containsText" dxfId="702" priority="1761" stopIfTrue="1" operator="containsText" text="Chủ nhiệm đề tài">
      <formula>NOT(ISERROR(SEARCH("Chủ nhiệm đề tài",D3)))</formula>
    </cfRule>
  </conditionalFormatting>
  <conditionalFormatting sqref="A3">
    <cfRule type="containsText" dxfId="701" priority="1750" stopIfTrue="1" operator="containsText" text="Thành viên chính">
      <formula>NOT(ISERROR(SEARCH("Thành viên chính",A3)))</formula>
    </cfRule>
    <cfRule type="containsText" dxfId="700" priority="1751" stopIfTrue="1" operator="containsText" text="Thư ký khoa học">
      <formula>NOT(ISERROR(SEARCH("Thư ký khoa học",A3)))</formula>
    </cfRule>
    <cfRule type="containsText" dxfId="699" priority="1752" stopIfTrue="1" operator="containsText" text="Chủ nhiệm đề tài">
      <formula>NOT(ISERROR(SEARCH("Chủ nhiệm đề tài",A3)))</formula>
    </cfRule>
  </conditionalFormatting>
  <conditionalFormatting sqref="B3">
    <cfRule type="containsText" dxfId="698" priority="1753" stopIfTrue="1" operator="containsText" text="Thành viên chính">
      <formula>NOT(ISERROR(SEARCH("Thành viên chính",B3)))</formula>
    </cfRule>
    <cfRule type="containsText" dxfId="697" priority="1754" stopIfTrue="1" operator="containsText" text="Thư ký khoa học">
      <formula>NOT(ISERROR(SEARCH("Thư ký khoa học",B3)))</formula>
    </cfRule>
    <cfRule type="containsText" dxfId="696" priority="1755" stopIfTrue="1" operator="containsText" text="Chủ nhiệm đề tài">
      <formula>NOT(ISERROR(SEARCH("Chủ nhiệm đề tài",B3)))</formula>
    </cfRule>
  </conditionalFormatting>
  <conditionalFormatting sqref="H3">
    <cfRule type="containsText" dxfId="695" priority="1744" stopIfTrue="1" operator="containsText" text="Thành viên chính">
      <formula>NOT(ISERROR(SEARCH("Thành viên chính",H3)))</formula>
    </cfRule>
    <cfRule type="containsText" dxfId="694" priority="1745" stopIfTrue="1" operator="containsText" text="Thư ký khoa học">
      <formula>NOT(ISERROR(SEARCH("Thư ký khoa học",H3)))</formula>
    </cfRule>
    <cfRule type="containsText" dxfId="693" priority="1746" stopIfTrue="1" operator="containsText" text="Chủ nhiệm đề tài">
      <formula>NOT(ISERROR(SEARCH("Chủ nhiệm đề tài",H3)))</formula>
    </cfRule>
  </conditionalFormatting>
  <conditionalFormatting sqref="C3">
    <cfRule type="containsText" dxfId="692" priority="1756" stopIfTrue="1" operator="containsText" text="Thành viên chính">
      <formula>NOT(ISERROR(SEARCH("Thành viên chính",C3)))</formula>
    </cfRule>
    <cfRule type="containsText" dxfId="691" priority="1757" stopIfTrue="1" operator="containsText" text="Thư ký khoa học">
      <formula>NOT(ISERROR(SEARCH("Thư ký khoa học",C3)))</formula>
    </cfRule>
    <cfRule type="containsText" dxfId="690" priority="1758" stopIfTrue="1" operator="containsText" text="Chủ nhiệm đề tài">
      <formula>NOT(ISERROR(SEARCH("Chủ nhiệm đề tài",C3)))</formula>
    </cfRule>
  </conditionalFormatting>
  <conditionalFormatting sqref="H4:I4">
    <cfRule type="containsText" dxfId="689" priority="1747" stopIfTrue="1" operator="containsText" text="Thành viên chính">
      <formula>NOT(ISERROR(SEARCH("Thành viên chính",H4)))</formula>
    </cfRule>
    <cfRule type="containsText" dxfId="688" priority="1748" stopIfTrue="1" operator="containsText" text="Thư ký khoa học">
      <formula>NOT(ISERROR(SEARCH("Thư ký khoa học",H4)))</formula>
    </cfRule>
    <cfRule type="containsText" dxfId="687" priority="1749" stopIfTrue="1" operator="containsText" text="Chủ nhiệm đề tài">
      <formula>NOT(ISERROR(SEARCH("Chủ nhiệm đề tài",H4)))</formula>
    </cfRule>
  </conditionalFormatting>
  <conditionalFormatting sqref="E47 A27:A29 C27:C29 B142 F142 A19:A21 C21 C131:F131 B8:F8 B129:B130 A144 E21 E28:E29 E50:E51 C6:F6 C133:F133 E132:F132 A5:I5">
    <cfRule type="containsText" dxfId="686" priority="1735" stopIfTrue="1" operator="containsText" text="Thành viên chính">
      <formula>NOT(ISERROR(SEARCH("Thành viên chính",A5)))</formula>
    </cfRule>
    <cfRule type="containsText" dxfId="685" priority="1736" stopIfTrue="1" operator="containsText" text="Thư ký khoa học">
      <formula>NOT(ISERROR(SEARCH("Thư ký khoa học",A5)))</formula>
    </cfRule>
    <cfRule type="containsText" dxfId="684" priority="1737" stopIfTrue="1" operator="containsText" text="Chủ nhiệm đề tài">
      <formula>NOT(ISERROR(SEARCH("Chủ nhiệm đề tài",A5)))</formula>
    </cfRule>
  </conditionalFormatting>
  <conditionalFormatting sqref="E19:E20">
    <cfRule type="containsText" dxfId="683" priority="1732" stopIfTrue="1" operator="containsText" text="Thành viên chính">
      <formula>NOT(ISERROR(SEARCH("Thành viên chính",E19)))</formula>
    </cfRule>
    <cfRule type="containsText" dxfId="682" priority="1733" stopIfTrue="1" operator="containsText" text="Thư ký khoa học">
      <formula>NOT(ISERROR(SEARCH("Thư ký khoa học",E19)))</formula>
    </cfRule>
    <cfRule type="containsText" dxfId="681" priority="1734" stopIfTrue="1" operator="containsText" text="Chủ nhiệm đề tài">
      <formula>NOT(ISERROR(SEARCH("Chủ nhiệm đề tài",E19)))</formula>
    </cfRule>
  </conditionalFormatting>
  <conditionalFormatting sqref="E27">
    <cfRule type="containsText" dxfId="680" priority="1729" stopIfTrue="1" operator="containsText" text="Thành viên chính">
      <formula>NOT(ISERROR(SEARCH("Thành viên chính",E27)))</formula>
    </cfRule>
    <cfRule type="containsText" dxfId="679" priority="1730" stopIfTrue="1" operator="containsText" text="Thư ký khoa học">
      <formula>NOT(ISERROR(SEARCH("Thư ký khoa học",E27)))</formula>
    </cfRule>
    <cfRule type="containsText" dxfId="678" priority="1731" stopIfTrue="1" operator="containsText" text="Chủ nhiệm đề tài">
      <formula>NOT(ISERROR(SEARCH("Chủ nhiệm đề tài",E27)))</formula>
    </cfRule>
  </conditionalFormatting>
  <conditionalFormatting sqref="E45">
    <cfRule type="containsText" dxfId="677" priority="1702" stopIfTrue="1" operator="containsText" text="Thành viên chính">
      <formula>NOT(ISERROR(SEARCH("Thành viên chính",E45)))</formula>
    </cfRule>
    <cfRule type="containsText" dxfId="676" priority="1703" stopIfTrue="1" operator="containsText" text="Thư ký khoa học">
      <formula>NOT(ISERROR(SEARCH("Thư ký khoa học",E45)))</formula>
    </cfRule>
    <cfRule type="containsText" dxfId="675" priority="1704" stopIfTrue="1" operator="containsText" text="Chủ nhiệm đề tài">
      <formula>NOT(ISERROR(SEARCH("Chủ nhiệm đề tài",E45)))</formula>
    </cfRule>
  </conditionalFormatting>
  <conditionalFormatting sqref="E49">
    <cfRule type="containsText" dxfId="674" priority="1723" stopIfTrue="1" operator="containsText" text="Thành viên chính">
      <formula>NOT(ISERROR(SEARCH("Thành viên chính",E49)))</formula>
    </cfRule>
    <cfRule type="containsText" dxfId="673" priority="1724" stopIfTrue="1" operator="containsText" text="Thư ký khoa học">
      <formula>NOT(ISERROR(SEARCH("Thư ký khoa học",E49)))</formula>
    </cfRule>
    <cfRule type="containsText" dxfId="672" priority="1725" stopIfTrue="1" operator="containsText" text="Chủ nhiệm đề tài">
      <formula>NOT(ISERROR(SEARCH("Chủ nhiệm đề tài",E49)))</formula>
    </cfRule>
  </conditionalFormatting>
  <conditionalFormatting sqref="E57">
    <cfRule type="containsText" dxfId="671" priority="1618" stopIfTrue="1" operator="containsText" text="Thành viên chính">
      <formula>NOT(ISERROR(SEARCH("Thành viên chính",E57)))</formula>
    </cfRule>
    <cfRule type="containsText" dxfId="670" priority="1619" stopIfTrue="1" operator="containsText" text="Thư ký khoa học">
      <formula>NOT(ISERROR(SEARCH("Thư ký khoa học",E57)))</formula>
    </cfRule>
    <cfRule type="containsText" dxfId="669" priority="1620" stopIfTrue="1" operator="containsText" text="Chủ nhiệm đề tài">
      <formula>NOT(ISERROR(SEARCH("Chủ nhiệm đề tài",E57)))</formula>
    </cfRule>
  </conditionalFormatting>
  <conditionalFormatting sqref="A61:A64">
    <cfRule type="containsText" dxfId="668" priority="1606" stopIfTrue="1" operator="containsText" text="Thành viên chính">
      <formula>NOT(ISERROR(SEARCH("Thành viên chính",A61)))</formula>
    </cfRule>
    <cfRule type="containsText" dxfId="667" priority="1607" stopIfTrue="1" operator="containsText" text="Thư ký khoa học">
      <formula>NOT(ISERROR(SEARCH("Thư ký khoa học",A61)))</formula>
    </cfRule>
    <cfRule type="containsText" dxfId="666" priority="1608" stopIfTrue="1" operator="containsText" text="Chủ nhiệm đề tài">
      <formula>NOT(ISERROR(SEARCH("Chủ nhiệm đề tài",A61)))</formula>
    </cfRule>
  </conditionalFormatting>
  <conditionalFormatting sqref="E46">
    <cfRule type="containsText" dxfId="665" priority="1699" stopIfTrue="1" operator="containsText" text="Thành viên chính">
      <formula>NOT(ISERROR(SEARCH("Thành viên chính",E46)))</formula>
    </cfRule>
    <cfRule type="containsText" dxfId="664" priority="1700" stopIfTrue="1" operator="containsText" text="Thư ký khoa học">
      <formula>NOT(ISERROR(SEARCH("Thư ký khoa học",E46)))</formula>
    </cfRule>
    <cfRule type="containsText" dxfId="663" priority="1701" stopIfTrue="1" operator="containsText" text="Chủ nhiệm đề tài">
      <formula>NOT(ISERROR(SEARCH("Chủ nhiệm đề tài",E46)))</formula>
    </cfRule>
  </conditionalFormatting>
  <conditionalFormatting sqref="A6:A7">
    <cfRule type="containsText" dxfId="662" priority="1672" stopIfTrue="1" operator="containsText" text="Thành viên chính">
      <formula>NOT(ISERROR(SEARCH("Thành viên chính",A6)))</formula>
    </cfRule>
    <cfRule type="containsText" dxfId="661" priority="1673" stopIfTrue="1" operator="containsText" text="Thư ký khoa học">
      <formula>NOT(ISERROR(SEARCH("Thư ký khoa học",A6)))</formula>
    </cfRule>
    <cfRule type="containsText" dxfId="660" priority="1674" stopIfTrue="1" operator="containsText" text="Chủ nhiệm đề tài">
      <formula>NOT(ISERROR(SEARCH("Chủ nhiệm đề tài",A6)))</formula>
    </cfRule>
  </conditionalFormatting>
  <conditionalFormatting sqref="B131">
    <cfRule type="containsText" dxfId="659" priority="1663" stopIfTrue="1" operator="containsText" text="Thành viên chính">
      <formula>NOT(ISERROR(SEARCH("Thành viên chính",B131)))</formula>
    </cfRule>
    <cfRule type="containsText" dxfId="658" priority="1664" stopIfTrue="1" operator="containsText" text="Thư ký khoa học">
      <formula>NOT(ISERROR(SEARCH("Thư ký khoa học",B131)))</formula>
    </cfRule>
    <cfRule type="containsText" dxfId="657" priority="1665" stopIfTrue="1" operator="containsText" text="Chủ nhiệm đề tài">
      <formula>NOT(ISERROR(SEARCH("Chủ nhiệm đề tài",B131)))</formula>
    </cfRule>
  </conditionalFormatting>
  <conditionalFormatting sqref="E87:E88">
    <cfRule type="containsText" dxfId="656" priority="1576" stopIfTrue="1" operator="containsText" text="Thành viên chính">
      <formula>NOT(ISERROR(SEARCH("Thành viên chính",E87)))</formula>
    </cfRule>
    <cfRule type="containsText" dxfId="655" priority="1577" stopIfTrue="1" operator="containsText" text="Thư ký khoa học">
      <formula>NOT(ISERROR(SEARCH("Thư ký khoa học",E87)))</formula>
    </cfRule>
    <cfRule type="containsText" dxfId="654" priority="1578" stopIfTrue="1" operator="containsText" text="Chủ nhiệm đề tài">
      <formula>NOT(ISERROR(SEARCH("Chủ nhiệm đề tài",E87)))</formula>
    </cfRule>
  </conditionalFormatting>
  <conditionalFormatting sqref="E58:E59">
    <cfRule type="containsText" dxfId="653" priority="1621" stopIfTrue="1" operator="containsText" text="Thành viên chính">
      <formula>NOT(ISERROR(SEARCH("Thành viên chính",E58)))</formula>
    </cfRule>
    <cfRule type="containsText" dxfId="652" priority="1622" stopIfTrue="1" operator="containsText" text="Thư ký khoa học">
      <formula>NOT(ISERROR(SEARCH("Thư ký khoa học",E58)))</formula>
    </cfRule>
    <cfRule type="containsText" dxfId="651" priority="1623" stopIfTrue="1" operator="containsText" text="Chủ nhiệm đề tài">
      <formula>NOT(ISERROR(SEARCH("Chủ nhiệm đề tài",E58)))</formula>
    </cfRule>
  </conditionalFormatting>
  <conditionalFormatting sqref="E86">
    <cfRule type="containsText" dxfId="650" priority="1573" stopIfTrue="1" operator="containsText" text="Thành viên chính">
      <formula>NOT(ISERROR(SEARCH("Thành viên chính",E86)))</formula>
    </cfRule>
    <cfRule type="containsText" dxfId="649" priority="1574" stopIfTrue="1" operator="containsText" text="Thư ký khoa học">
      <formula>NOT(ISERROR(SEARCH("Thư ký khoa học",E86)))</formula>
    </cfRule>
    <cfRule type="containsText" dxfId="648" priority="1575" stopIfTrue="1" operator="containsText" text="Chủ nhiệm đề tài">
      <formula>NOT(ISERROR(SEARCH("Chủ nhiệm đề tài",E86)))</formula>
    </cfRule>
  </conditionalFormatting>
  <conditionalFormatting sqref="B10:E10">
    <cfRule type="containsText" dxfId="647" priority="1450" stopIfTrue="1" operator="containsText" text="Thành viên chính">
      <formula>NOT(ISERROR(SEARCH("Thành viên chính",B10)))</formula>
    </cfRule>
    <cfRule type="containsText" dxfId="646" priority="1451" stopIfTrue="1" operator="containsText" text="Thư ký khoa học">
      <formula>NOT(ISERROR(SEARCH("Thư ký khoa học",B10)))</formula>
    </cfRule>
    <cfRule type="containsText" dxfId="645" priority="1452" stopIfTrue="1" operator="containsText" text="Chủ nhiệm đề tài">
      <formula>NOT(ISERROR(SEARCH("Chủ nhiệm đề tài",B10)))</formula>
    </cfRule>
  </conditionalFormatting>
  <conditionalFormatting sqref="E54:E55">
    <cfRule type="containsText" dxfId="644" priority="1492" stopIfTrue="1" operator="containsText" text="Thành viên chính">
      <formula>NOT(ISERROR(SEARCH("Thành viên chính",E54)))</formula>
    </cfRule>
    <cfRule type="containsText" dxfId="643" priority="1493" stopIfTrue="1" operator="containsText" text="Thư ký khoa học">
      <formula>NOT(ISERROR(SEARCH("Thư ký khoa học",E54)))</formula>
    </cfRule>
    <cfRule type="containsText" dxfId="642" priority="1494" stopIfTrue="1" operator="containsText" text="Chủ nhiệm đề tài">
      <formula>NOT(ISERROR(SEARCH("Chủ nhiệm đề tài",E54)))</formula>
    </cfRule>
  </conditionalFormatting>
  <conditionalFormatting sqref="E92:E93">
    <cfRule type="containsText" dxfId="641" priority="1555" stopIfTrue="1" operator="containsText" text="Thành viên chính">
      <formula>NOT(ISERROR(SEARCH("Thành viên chính",E92)))</formula>
    </cfRule>
    <cfRule type="containsText" dxfId="640" priority="1556" stopIfTrue="1" operator="containsText" text="Thư ký khoa học">
      <formula>NOT(ISERROR(SEARCH("Thư ký khoa học",E92)))</formula>
    </cfRule>
    <cfRule type="containsText" dxfId="639" priority="1557" stopIfTrue="1" operator="containsText" text="Chủ nhiệm đề tài">
      <formula>NOT(ISERROR(SEARCH("Chủ nhiệm đề tài",E92)))</formula>
    </cfRule>
  </conditionalFormatting>
  <conditionalFormatting sqref="E90:E91">
    <cfRule type="containsText" dxfId="638" priority="1552" stopIfTrue="1" operator="containsText" text="Thành viên chính">
      <formula>NOT(ISERROR(SEARCH("Thành viên chính",E90)))</formula>
    </cfRule>
    <cfRule type="containsText" dxfId="637" priority="1553" stopIfTrue="1" operator="containsText" text="Thư ký khoa học">
      <formula>NOT(ISERROR(SEARCH("Thư ký khoa học",E90)))</formula>
    </cfRule>
    <cfRule type="containsText" dxfId="636" priority="1554" stopIfTrue="1" operator="containsText" text="Chủ nhiệm đề tài">
      <formula>NOT(ISERROR(SEARCH("Chủ nhiệm đề tài",E90)))</formula>
    </cfRule>
  </conditionalFormatting>
  <conditionalFormatting sqref="F90:F93">
    <cfRule type="containsText" dxfId="635" priority="1543" stopIfTrue="1" operator="containsText" text="Thành viên chính">
      <formula>NOT(ISERROR(SEARCH("Thành viên chính",F90)))</formula>
    </cfRule>
    <cfRule type="containsText" dxfId="634" priority="1544" stopIfTrue="1" operator="containsText" text="Thư ký khoa học">
      <formula>NOT(ISERROR(SEARCH("Thư ký khoa học",F90)))</formula>
    </cfRule>
    <cfRule type="containsText" dxfId="633" priority="1545" stopIfTrue="1" operator="containsText" text="Chủ nhiệm đề tài">
      <formula>NOT(ISERROR(SEARCH("Chủ nhiệm đề tài",F90)))</formula>
    </cfRule>
  </conditionalFormatting>
  <conditionalFormatting sqref="E42">
    <cfRule type="containsText" dxfId="632" priority="1435" stopIfTrue="1" operator="containsText" text="Thành viên chính">
      <formula>NOT(ISERROR(SEARCH("Thành viên chính",E42)))</formula>
    </cfRule>
    <cfRule type="containsText" dxfId="631" priority="1436" stopIfTrue="1" operator="containsText" text="Thư ký khoa học">
      <formula>NOT(ISERROR(SEARCH("Thư ký khoa học",E42)))</formula>
    </cfRule>
    <cfRule type="containsText" dxfId="630" priority="1437" stopIfTrue="1" operator="containsText" text="Chủ nhiệm đề tài">
      <formula>NOT(ISERROR(SEARCH("Chủ nhiệm đề tài",E42)))</formula>
    </cfRule>
  </conditionalFormatting>
  <conditionalFormatting sqref="A23:A25 C23:C25 E24:E25">
    <cfRule type="containsText" dxfId="629" priority="1519" stopIfTrue="1" operator="containsText" text="Thành viên chính">
      <formula>NOT(ISERROR(SEARCH("Thành viên chính",A23)))</formula>
    </cfRule>
    <cfRule type="containsText" dxfId="628" priority="1520" stopIfTrue="1" operator="containsText" text="Thư ký khoa học">
      <formula>NOT(ISERROR(SEARCH("Thư ký khoa học",A23)))</formula>
    </cfRule>
    <cfRule type="containsText" dxfId="627" priority="1521" stopIfTrue="1" operator="containsText" text="Chủ nhiệm đề tài">
      <formula>NOT(ISERROR(SEARCH("Chủ nhiệm đề tài",A23)))</formula>
    </cfRule>
  </conditionalFormatting>
  <conditionalFormatting sqref="E23">
    <cfRule type="containsText" dxfId="626" priority="1516" stopIfTrue="1" operator="containsText" text="Thành viên chính">
      <formula>NOT(ISERROR(SEARCH("Thành viên chính",E23)))</formula>
    </cfRule>
    <cfRule type="containsText" dxfId="625" priority="1517" stopIfTrue="1" operator="containsText" text="Thư ký khoa học">
      <formula>NOT(ISERROR(SEARCH("Thư ký khoa học",E23)))</formula>
    </cfRule>
    <cfRule type="containsText" dxfId="624" priority="1518" stopIfTrue="1" operator="containsText" text="Chủ nhiệm đề tài">
      <formula>NOT(ISERROR(SEARCH("Chủ nhiệm đề tài",E23)))</formula>
    </cfRule>
  </conditionalFormatting>
  <conditionalFormatting sqref="E53">
    <cfRule type="containsText" dxfId="623" priority="1489" stopIfTrue="1" operator="containsText" text="Thành viên chính">
      <formula>NOT(ISERROR(SEARCH("Thành viên chính",E53)))</formula>
    </cfRule>
    <cfRule type="containsText" dxfId="622" priority="1490" stopIfTrue="1" operator="containsText" text="Thư ký khoa học">
      <formula>NOT(ISERROR(SEARCH("Thư ký khoa học",E53)))</formula>
    </cfRule>
    <cfRule type="containsText" dxfId="621" priority="1491" stopIfTrue="1" operator="containsText" text="Chủ nhiệm đề tài">
      <formula>NOT(ISERROR(SEARCH("Chủ nhiệm đề tài",E53)))</formula>
    </cfRule>
  </conditionalFormatting>
  <conditionalFormatting sqref="E96:E97">
    <cfRule type="containsText" dxfId="620" priority="1468" stopIfTrue="1" operator="containsText" text="Thành viên chính">
      <formula>NOT(ISERROR(SEARCH("Thành viên chính",E96)))</formula>
    </cfRule>
    <cfRule type="containsText" dxfId="619" priority="1469" stopIfTrue="1" operator="containsText" text="Thư ký khoa học">
      <formula>NOT(ISERROR(SEARCH("Thư ký khoa học",E96)))</formula>
    </cfRule>
    <cfRule type="containsText" dxfId="618" priority="1470" stopIfTrue="1" operator="containsText" text="Chủ nhiệm đề tài">
      <formula>NOT(ISERROR(SEARCH("Chủ nhiệm đề tài",E96)))</formula>
    </cfRule>
  </conditionalFormatting>
  <conditionalFormatting sqref="E95">
    <cfRule type="containsText" dxfId="617" priority="1465" stopIfTrue="1" operator="containsText" text="Thành viên chính">
      <formula>NOT(ISERROR(SEARCH("Thành viên chính",E95)))</formula>
    </cfRule>
    <cfRule type="containsText" dxfId="616" priority="1466" stopIfTrue="1" operator="containsText" text="Thư ký khoa học">
      <formula>NOT(ISERROR(SEARCH("Thư ký khoa học",E95)))</formula>
    </cfRule>
    <cfRule type="containsText" dxfId="615" priority="1467" stopIfTrue="1" operator="containsText" text="Chủ nhiệm đề tài">
      <formula>NOT(ISERROR(SEARCH("Chủ nhiệm đề tài",E95)))</formula>
    </cfRule>
  </conditionalFormatting>
  <conditionalFormatting sqref="E43">
    <cfRule type="containsText" dxfId="614" priority="1444" stopIfTrue="1" operator="containsText" text="Thành viên chính">
      <formula>NOT(ISERROR(SEARCH("Thành viên chính",E43)))</formula>
    </cfRule>
    <cfRule type="containsText" dxfId="613" priority="1445" stopIfTrue="1" operator="containsText" text="Thư ký khoa học">
      <formula>NOT(ISERROR(SEARCH("Thư ký khoa học",E43)))</formula>
    </cfRule>
    <cfRule type="containsText" dxfId="612" priority="1446" stopIfTrue="1" operator="containsText" text="Chủ nhiệm đề tài">
      <formula>NOT(ISERROR(SEARCH("Chủ nhiệm đề tài",E43)))</formula>
    </cfRule>
  </conditionalFormatting>
  <conditionalFormatting sqref="E73">
    <cfRule type="containsText" dxfId="611" priority="1363" stopIfTrue="1" operator="containsText" text="Thành viên chính">
      <formula>NOT(ISERROR(SEARCH("Thành viên chính",E73)))</formula>
    </cfRule>
    <cfRule type="containsText" dxfId="610" priority="1364" stopIfTrue="1" operator="containsText" text="Thư ký khoa học">
      <formula>NOT(ISERROR(SEARCH("Thư ký khoa học",E73)))</formula>
    </cfRule>
    <cfRule type="containsText" dxfId="609" priority="1365" stopIfTrue="1" operator="containsText" text="Chủ nhiệm đề tài">
      <formula>NOT(ISERROR(SEARCH("Chủ nhiệm đề tài",E73)))</formula>
    </cfRule>
  </conditionalFormatting>
  <conditionalFormatting sqref="E41">
    <cfRule type="containsText" dxfId="608" priority="1438" stopIfTrue="1" operator="containsText" text="Thành viên chính">
      <formula>NOT(ISERROR(SEARCH("Thành viên chính",E41)))</formula>
    </cfRule>
    <cfRule type="containsText" dxfId="607" priority="1439" stopIfTrue="1" operator="containsText" text="Thư ký khoa học">
      <formula>NOT(ISERROR(SEARCH("Thư ký khoa học",E41)))</formula>
    </cfRule>
    <cfRule type="containsText" dxfId="606" priority="1440" stopIfTrue="1" operator="containsText" text="Chủ nhiệm đề tài">
      <formula>NOT(ISERROR(SEARCH("Chủ nhiệm đề tài",E41)))</formula>
    </cfRule>
  </conditionalFormatting>
  <conditionalFormatting sqref="E78:E79">
    <cfRule type="containsText" dxfId="605" priority="1414" stopIfTrue="1" operator="containsText" text="Thành viên chính">
      <formula>NOT(ISERROR(SEARCH("Thành viên chính",E78)))</formula>
    </cfRule>
    <cfRule type="containsText" dxfId="604" priority="1415" stopIfTrue="1" operator="containsText" text="Thư ký khoa học">
      <formula>NOT(ISERROR(SEARCH("Thư ký khoa học",E78)))</formula>
    </cfRule>
    <cfRule type="containsText" dxfId="603" priority="1416" stopIfTrue="1" operator="containsText" text="Chủ nhiệm đề tài">
      <formula>NOT(ISERROR(SEARCH("Chủ nhiệm đề tài",E78)))</formula>
    </cfRule>
  </conditionalFormatting>
  <conditionalFormatting sqref="E77">
    <cfRule type="containsText" dxfId="602" priority="1411" stopIfTrue="1" operator="containsText" text="Thành viên chính">
      <formula>NOT(ISERROR(SEARCH("Thành viên chính",E77)))</formula>
    </cfRule>
    <cfRule type="containsText" dxfId="601" priority="1412" stopIfTrue="1" operator="containsText" text="Thư ký khoa học">
      <formula>NOT(ISERROR(SEARCH("Thư ký khoa học",E77)))</formula>
    </cfRule>
    <cfRule type="containsText" dxfId="600" priority="1413" stopIfTrue="1" operator="containsText" text="Chủ nhiệm đề tài">
      <formula>NOT(ISERROR(SEARCH("Chủ nhiệm đề tài",E77)))</formula>
    </cfRule>
  </conditionalFormatting>
  <conditionalFormatting sqref="H6 H8">
    <cfRule type="containsText" dxfId="599" priority="1291" stopIfTrue="1" operator="containsText" text="Thành viên chính">
      <formula>NOT(ISERROR(SEARCH("Thành viên chính",H6)))</formula>
    </cfRule>
    <cfRule type="containsText" dxfId="598" priority="1292" stopIfTrue="1" operator="containsText" text="Thư ký khoa học">
      <formula>NOT(ISERROR(SEARCH("Thư ký khoa học",H6)))</formula>
    </cfRule>
    <cfRule type="containsText" dxfId="597" priority="1293" stopIfTrue="1" operator="containsText" text="Chủ nhiệm đề tài">
      <formula>NOT(ISERROR(SEARCH("Chủ nhiệm đề tài",H6)))</formula>
    </cfRule>
  </conditionalFormatting>
  <conditionalFormatting sqref="E83:E84">
    <cfRule type="containsText" dxfId="596" priority="1318" stopIfTrue="1" operator="containsText" text="Thành viên chính">
      <formula>NOT(ISERROR(SEARCH("Thành viên chính",E83)))</formula>
    </cfRule>
    <cfRule type="containsText" dxfId="595" priority="1319" stopIfTrue="1" operator="containsText" text="Thư ký khoa học">
      <formula>NOT(ISERROR(SEARCH("Thư ký khoa học",E83)))</formula>
    </cfRule>
    <cfRule type="containsText" dxfId="594" priority="1320" stopIfTrue="1" operator="containsText" text="Chủ nhiệm đề tài">
      <formula>NOT(ISERROR(SEARCH("Chủ nhiệm đề tài",E83)))</formula>
    </cfRule>
  </conditionalFormatting>
  <conditionalFormatting sqref="A93">
    <cfRule type="containsText" dxfId="593" priority="1162" stopIfTrue="1" operator="containsText" text="Thành viên chính">
      <formula>NOT(ISERROR(SEARCH("Thành viên chính",A93)))</formula>
    </cfRule>
    <cfRule type="containsText" dxfId="592" priority="1163" stopIfTrue="1" operator="containsText" text="Thư ký khoa học">
      <formula>NOT(ISERROR(SEARCH("Thư ký khoa học",A93)))</formula>
    </cfRule>
    <cfRule type="containsText" dxfId="591" priority="1164" stopIfTrue="1" operator="containsText" text="Chủ nhiệm đề tài">
      <formula>NOT(ISERROR(SEARCH("Chủ nhiệm đề tài",A93)))</formula>
    </cfRule>
  </conditionalFormatting>
  <conditionalFormatting sqref="B90:B91 B93">
    <cfRule type="containsText" dxfId="590" priority="1171" stopIfTrue="1" operator="containsText" text="Thành viên chính">
      <formula>NOT(ISERROR(SEARCH("Thành viên chính",B90)))</formula>
    </cfRule>
    <cfRule type="containsText" dxfId="589" priority="1172" stopIfTrue="1" operator="containsText" text="Thư ký khoa học">
      <formula>NOT(ISERROR(SEARCH("Thư ký khoa học",B90)))</formula>
    </cfRule>
    <cfRule type="containsText" dxfId="588" priority="1173" stopIfTrue="1" operator="containsText" text="Chủ nhiệm đề tài">
      <formula>NOT(ISERROR(SEARCH("Chủ nhiệm đề tài",B90)))</formula>
    </cfRule>
  </conditionalFormatting>
  <conditionalFormatting sqref="A128 A99:A102">
    <cfRule type="containsText" dxfId="587" priority="1189" stopIfTrue="1" operator="containsText" text="Thành viên chính">
      <formula>NOT(ISERROR(SEARCH("Thành viên chính",A99)))</formula>
    </cfRule>
    <cfRule type="containsText" dxfId="586" priority="1190" stopIfTrue="1" operator="containsText" text="Thư ký khoa học">
      <formula>NOT(ISERROR(SEARCH("Thư ký khoa học",A99)))</formula>
    </cfRule>
    <cfRule type="containsText" dxfId="585" priority="1191" stopIfTrue="1" operator="containsText" text="Chủ nhiệm đề tài">
      <formula>NOT(ISERROR(SEARCH("Chủ nhiệm đề tài",A99)))</formula>
    </cfRule>
  </conditionalFormatting>
  <conditionalFormatting sqref="B86 B88">
    <cfRule type="containsText" dxfId="584" priority="1177" stopIfTrue="1" operator="containsText" text="Thành viên chính">
      <formula>NOT(ISERROR(SEARCH("Thành viên chính",B86)))</formula>
    </cfRule>
    <cfRule type="containsText" dxfId="583" priority="1178" stopIfTrue="1" operator="containsText" text="Thư ký khoa học">
      <formula>NOT(ISERROR(SEARCH("Thư ký khoa học",B86)))</formula>
    </cfRule>
    <cfRule type="containsText" dxfId="582" priority="1179" stopIfTrue="1" operator="containsText" text="Chủ nhiệm đề tài">
      <formula>NOT(ISERROR(SEARCH("Chủ nhiệm đề tài",B86)))</formula>
    </cfRule>
  </conditionalFormatting>
  <conditionalFormatting sqref="C90:C93">
    <cfRule type="containsText" dxfId="581" priority="1174" stopIfTrue="1" operator="containsText" text="Thành viên chính">
      <formula>NOT(ISERROR(SEARCH("Thành viên chính",C90)))</formula>
    </cfRule>
    <cfRule type="containsText" dxfId="580" priority="1175" stopIfTrue="1" operator="containsText" text="Thư ký khoa học">
      <formula>NOT(ISERROR(SEARCH("Thư ký khoa học",C90)))</formula>
    </cfRule>
    <cfRule type="containsText" dxfId="579" priority="1176" stopIfTrue="1" operator="containsText" text="Chủ nhiệm đề tài">
      <formula>NOT(ISERROR(SEARCH("Chủ nhiệm đề tài",C90)))</formula>
    </cfRule>
  </conditionalFormatting>
  <conditionalFormatting sqref="A90:A92">
    <cfRule type="containsText" dxfId="578" priority="1168" stopIfTrue="1" operator="containsText" text="Thành viên chính">
      <formula>NOT(ISERROR(SEARCH("Thành viên chính",A90)))</formula>
    </cfRule>
    <cfRule type="containsText" dxfId="577" priority="1169" stopIfTrue="1" operator="containsText" text="Thư ký khoa học">
      <formula>NOT(ISERROR(SEARCH("Thư ký khoa học",A90)))</formula>
    </cfRule>
    <cfRule type="containsText" dxfId="576" priority="1170" stopIfTrue="1" operator="containsText" text="Chủ nhiệm đề tài">
      <formula>NOT(ISERROR(SEARCH("Chủ nhiệm đề tài",A90)))</formula>
    </cfRule>
  </conditionalFormatting>
  <conditionalFormatting sqref="C81:C84">
    <cfRule type="containsText" dxfId="575" priority="1117" stopIfTrue="1" operator="containsText" text="Thành viên chính">
      <formula>NOT(ISERROR(SEARCH("Thành viên chính",C81)))</formula>
    </cfRule>
    <cfRule type="containsText" dxfId="574" priority="1118" stopIfTrue="1" operator="containsText" text="Thư ký khoa học">
      <formula>NOT(ISERROR(SEARCH("Thư ký khoa học",C81)))</formula>
    </cfRule>
    <cfRule type="containsText" dxfId="573" priority="1119" stopIfTrue="1" operator="containsText" text="Chủ nhiệm đề tài">
      <formula>NOT(ISERROR(SEARCH("Chủ nhiệm đề tài",C81)))</formula>
    </cfRule>
  </conditionalFormatting>
  <conditionalFormatting sqref="B81:B82 B84">
    <cfRule type="containsText" dxfId="572" priority="1114" stopIfTrue="1" operator="containsText" text="Thành viên chính">
      <formula>NOT(ISERROR(SEARCH("Thành viên chính",B81)))</formula>
    </cfRule>
    <cfRule type="containsText" dxfId="571" priority="1115" stopIfTrue="1" operator="containsText" text="Thư ký khoa học">
      <formula>NOT(ISERROR(SEARCH("Thư ký khoa học",B81)))</formula>
    </cfRule>
    <cfRule type="containsText" dxfId="570" priority="1116" stopIfTrue="1" operator="containsText" text="Chủ nhiệm đề tài">
      <formula>NOT(ISERROR(SEARCH("Chủ nhiệm đề tài",B81)))</formula>
    </cfRule>
  </conditionalFormatting>
  <conditionalFormatting sqref="A81:A84">
    <cfRule type="containsText" dxfId="569" priority="1111" stopIfTrue="1" operator="containsText" text="Thành viên chính">
      <formula>NOT(ISERROR(SEARCH("Thành viên chính",A81)))</formula>
    </cfRule>
    <cfRule type="containsText" dxfId="568" priority="1112" stopIfTrue="1" operator="containsText" text="Thư ký khoa học">
      <formula>NOT(ISERROR(SEARCH("Thư ký khoa học",A81)))</formula>
    </cfRule>
    <cfRule type="containsText" dxfId="567" priority="1113" stopIfTrue="1" operator="containsText" text="Chủ nhiệm đề tài">
      <formula>NOT(ISERROR(SEARCH("Chủ nhiệm đề tài",A81)))</formula>
    </cfRule>
  </conditionalFormatting>
  <conditionalFormatting sqref="B146:F147 G146:I146">
    <cfRule type="containsText" dxfId="566" priority="1741" stopIfTrue="1" operator="containsText" text="Thành viên chính">
      <formula>NOT(ISERROR(SEARCH("Thành viên chính",#REF!)))</formula>
    </cfRule>
    <cfRule type="containsText" dxfId="565" priority="1742" stopIfTrue="1" operator="containsText" text="Thư ký khoa học">
      <formula>NOT(ISERROR(SEARCH("Thư ký khoa học",#REF!)))</formula>
    </cfRule>
    <cfRule type="containsText" dxfId="564" priority="1743" stopIfTrue="1" operator="containsText" text="Chủ nhiệm đề tài">
      <formula>NOT(ISERROR(SEARCH("Chủ nhiệm đề tài",#REF!)))</formula>
    </cfRule>
  </conditionalFormatting>
  <conditionalFormatting sqref="H147">
    <cfRule type="containsText" dxfId="563" priority="1294" stopIfTrue="1" operator="containsText" text="Thành viên chính">
      <formula>NOT(ISERROR(SEARCH("Thành viên chính",#REF!)))</formula>
    </cfRule>
    <cfRule type="containsText" dxfId="562" priority="1295" stopIfTrue="1" operator="containsText" text="Thư ký khoa học">
      <formula>NOT(ISERROR(SEARCH("Thư ký khoa học",#REF!)))</formula>
    </cfRule>
    <cfRule type="containsText" dxfId="561" priority="1296" stopIfTrue="1" operator="containsText" text="Chủ nhiệm đề tài">
      <formula>NOT(ISERROR(SEARCH("Chủ nhiệm đề tài",#REF!)))</formula>
    </cfRule>
  </conditionalFormatting>
  <conditionalFormatting sqref="E61:E62">
    <cfRule type="containsText" dxfId="560" priority="814" stopIfTrue="1" operator="containsText" text="Thành viên chính">
      <formula>NOT(ISERROR(SEARCH("Thành viên chính",E61)))</formula>
    </cfRule>
    <cfRule type="containsText" dxfId="559" priority="815" stopIfTrue="1" operator="containsText" text="Thư ký khoa học">
      <formula>NOT(ISERROR(SEARCH("Thư ký khoa học",E61)))</formula>
    </cfRule>
    <cfRule type="containsText" dxfId="558" priority="816" stopIfTrue="1" operator="containsText" text="Chủ nhiệm đề tài">
      <formula>NOT(ISERROR(SEARCH("Chủ nhiệm đề tài",E61)))</formula>
    </cfRule>
  </conditionalFormatting>
  <conditionalFormatting sqref="B61:B64">
    <cfRule type="containsText" dxfId="557" priority="811" stopIfTrue="1" operator="containsText" text="Thành viên chính">
      <formula>NOT(ISERROR(SEARCH("Thành viên chính",B61)))</formula>
    </cfRule>
    <cfRule type="containsText" dxfId="556" priority="812" stopIfTrue="1" operator="containsText" text="Thư ký khoa học">
      <formula>NOT(ISERROR(SEARCH("Thư ký khoa học",B61)))</formula>
    </cfRule>
    <cfRule type="containsText" dxfId="555" priority="813" stopIfTrue="1" operator="containsText" text="Chủ nhiệm đề tài">
      <formula>NOT(ISERROR(SEARCH("Chủ nhiệm đề tài",B61)))</formula>
    </cfRule>
  </conditionalFormatting>
  <conditionalFormatting sqref="E101:E102">
    <cfRule type="containsText" dxfId="554" priority="736" stopIfTrue="1" operator="containsText" text="Thành viên chính">
      <formula>NOT(ISERROR(SEARCH("Thành viên chính",E101)))</formula>
    </cfRule>
    <cfRule type="containsText" dxfId="553" priority="737" stopIfTrue="1" operator="containsText" text="Thư ký khoa học">
      <formula>NOT(ISERROR(SEARCH("Thư ký khoa học",E101)))</formula>
    </cfRule>
    <cfRule type="containsText" dxfId="552" priority="738" stopIfTrue="1" operator="containsText" text="Chủ nhiệm đề tài">
      <formula>NOT(ISERROR(SEARCH("Chủ nhiệm đề tài",E101)))</formula>
    </cfRule>
  </conditionalFormatting>
  <conditionalFormatting sqref="C61:C64 E63:E64">
    <cfRule type="containsText" dxfId="551" priority="817" stopIfTrue="1" operator="containsText" text="Thành viên chính">
      <formula>NOT(ISERROR(SEARCH("Thành viên chính",C61)))</formula>
    </cfRule>
    <cfRule type="containsText" dxfId="550" priority="818" stopIfTrue="1" operator="containsText" text="Thư ký khoa học">
      <formula>NOT(ISERROR(SEARCH("Thư ký khoa học",C61)))</formula>
    </cfRule>
    <cfRule type="containsText" dxfId="549" priority="819" stopIfTrue="1" operator="containsText" text="Chủ nhiệm đề tài">
      <formula>NOT(ISERROR(SEARCH("Chủ nhiệm đề tài",C61)))</formula>
    </cfRule>
  </conditionalFormatting>
  <conditionalFormatting sqref="H61:H64">
    <cfRule type="containsText" dxfId="548" priority="805" stopIfTrue="1" operator="containsText" text="Thành viên chính">
      <formula>NOT(ISERROR(SEARCH("Thành viên chính",H61)))</formula>
    </cfRule>
    <cfRule type="containsText" dxfId="547" priority="806" stopIfTrue="1" operator="containsText" text="Thư ký khoa học">
      <formula>NOT(ISERROR(SEARCH("Thư ký khoa học",H61)))</formula>
    </cfRule>
    <cfRule type="containsText" dxfId="546" priority="807" stopIfTrue="1" operator="containsText" text="Chủ nhiệm đề tài">
      <formula>NOT(ISERROR(SEARCH("Chủ nhiệm đề tài",H61)))</formula>
    </cfRule>
  </conditionalFormatting>
  <conditionalFormatting sqref="C35:C38 E36:E38">
    <cfRule type="containsText" dxfId="545" priority="880" stopIfTrue="1" operator="containsText" text="Thành viên chính">
      <formula>NOT(ISERROR(SEARCH("Thành viên chính",C35)))</formula>
    </cfRule>
    <cfRule type="containsText" dxfId="544" priority="881" stopIfTrue="1" operator="containsText" text="Thư ký khoa học">
      <formula>NOT(ISERROR(SEARCH("Thư ký khoa học",C35)))</formula>
    </cfRule>
    <cfRule type="containsText" dxfId="543" priority="882" stopIfTrue="1" operator="containsText" text="Chủ nhiệm đề tài">
      <formula>NOT(ISERROR(SEARCH("Chủ nhiệm đề tài",C35)))</formula>
    </cfRule>
  </conditionalFormatting>
  <conditionalFormatting sqref="F61:F64">
    <cfRule type="containsText" dxfId="542" priority="808" stopIfTrue="1" operator="containsText" text="Thành viên chính">
      <formula>NOT(ISERROR(SEARCH("Thành viên chính",F61)))</formula>
    </cfRule>
    <cfRule type="containsText" dxfId="541" priority="809" stopIfTrue="1" operator="containsText" text="Thư ký khoa học">
      <formula>NOT(ISERROR(SEARCH("Thư ký khoa học",F61)))</formula>
    </cfRule>
    <cfRule type="containsText" dxfId="540" priority="810" stopIfTrue="1" operator="containsText" text="Chủ nhiệm đề tài">
      <formula>NOT(ISERROR(SEARCH("Chủ nhiệm đề tài",F61)))</formula>
    </cfRule>
  </conditionalFormatting>
  <conditionalFormatting sqref="F10">
    <cfRule type="containsText" dxfId="539" priority="631" stopIfTrue="1" operator="containsText" text="Thành viên chính">
      <formula>NOT(ISERROR(SEARCH("Thành viên chính",F10)))</formula>
    </cfRule>
    <cfRule type="containsText" dxfId="538" priority="632" stopIfTrue="1" operator="containsText" text="Thư ký khoa học">
      <formula>NOT(ISERROR(SEARCH("Thư ký khoa học",F10)))</formula>
    </cfRule>
    <cfRule type="containsText" dxfId="537" priority="633" stopIfTrue="1" operator="containsText" text="Chủ nhiệm đề tài">
      <formula>NOT(ISERROR(SEARCH("Chủ nhiệm đề tài",F10)))</formula>
    </cfRule>
  </conditionalFormatting>
  <conditionalFormatting sqref="E31">
    <cfRule type="containsText" dxfId="536" priority="910" stopIfTrue="1" operator="containsText" text="Thành viên chính">
      <formula>NOT(ISERROR(SEARCH("Thành viên chính",E31)))</formula>
    </cfRule>
    <cfRule type="containsText" dxfId="535" priority="911" stopIfTrue="1" operator="containsText" text="Thư ký khoa học">
      <formula>NOT(ISERROR(SEARCH("Thư ký khoa học",E31)))</formula>
    </cfRule>
    <cfRule type="containsText" dxfId="534" priority="912" stopIfTrue="1" operator="containsText" text="Chủ nhiệm đề tài">
      <formula>NOT(ISERROR(SEARCH("Chủ nhiệm đề tài",E31)))</formula>
    </cfRule>
  </conditionalFormatting>
  <conditionalFormatting sqref="C32">
    <cfRule type="containsText" dxfId="533" priority="904" stopIfTrue="1" operator="containsText" text="Thành viên chính">
      <formula>NOT(ISERROR(SEARCH("Thành viên chính",C32)))</formula>
    </cfRule>
    <cfRule type="containsText" dxfId="532" priority="905" stopIfTrue="1" operator="containsText" text="Thư ký khoa học">
      <formula>NOT(ISERROR(SEARCH("Thư ký khoa học",C32)))</formula>
    </cfRule>
    <cfRule type="containsText" dxfId="531" priority="906" stopIfTrue="1" operator="containsText" text="Chủ nhiệm đề tài">
      <formula>NOT(ISERROR(SEARCH("Chủ nhiệm đề tài",C32)))</formula>
    </cfRule>
  </conditionalFormatting>
  <conditionalFormatting sqref="E32">
    <cfRule type="containsText" dxfId="530" priority="901" stopIfTrue="1" operator="containsText" text="Thành viên chính">
      <formula>NOT(ISERROR(SEARCH("Thành viên chính",E32)))</formula>
    </cfRule>
    <cfRule type="containsText" dxfId="529" priority="902" stopIfTrue="1" operator="containsText" text="Thư ký khoa học">
      <formula>NOT(ISERROR(SEARCH("Thư ký khoa học",E32)))</formula>
    </cfRule>
    <cfRule type="containsText" dxfId="528" priority="903" stopIfTrue="1" operator="containsText" text="Chủ nhiệm đề tài">
      <formula>NOT(ISERROR(SEARCH("Chủ nhiệm đề tài",E32)))</formula>
    </cfRule>
  </conditionalFormatting>
  <conditionalFormatting sqref="H35:H38">
    <cfRule type="containsText" dxfId="527" priority="856" stopIfTrue="1" operator="containsText" text="Thành viên chính">
      <formula>NOT(ISERROR(SEARCH("Thành viên chính",H35)))</formula>
    </cfRule>
    <cfRule type="containsText" dxfId="526" priority="857" stopIfTrue="1" operator="containsText" text="Thư ký khoa học">
      <formula>NOT(ISERROR(SEARCH("Thư ký khoa học",H35)))</formula>
    </cfRule>
    <cfRule type="containsText" dxfId="525" priority="858" stopIfTrue="1" operator="containsText" text="Chủ nhiệm đề tài">
      <formula>NOT(ISERROR(SEARCH("Chủ nhiệm đề tài",H35)))</formula>
    </cfRule>
  </conditionalFormatting>
  <conditionalFormatting sqref="E35">
    <cfRule type="containsText" dxfId="524" priority="877" stopIfTrue="1" operator="containsText" text="Thành viên chính">
      <formula>NOT(ISERROR(SEARCH("Thành viên chính",E35)))</formula>
    </cfRule>
    <cfRule type="containsText" dxfId="523" priority="878" stopIfTrue="1" operator="containsText" text="Thư ký khoa học">
      <formula>NOT(ISERROR(SEARCH("Thư ký khoa học",E35)))</formula>
    </cfRule>
    <cfRule type="containsText" dxfId="522" priority="879" stopIfTrue="1" operator="containsText" text="Chủ nhiệm đề tài">
      <formula>NOT(ISERROR(SEARCH("Chủ nhiệm đề tài",E35)))</formula>
    </cfRule>
  </conditionalFormatting>
  <conditionalFormatting sqref="F35:F38">
    <cfRule type="containsText" dxfId="521" priority="862" stopIfTrue="1" operator="containsText" text="Thành viên chính">
      <formula>NOT(ISERROR(SEARCH("Thành viên chính",F35)))</formula>
    </cfRule>
    <cfRule type="containsText" dxfId="520" priority="863" stopIfTrue="1" operator="containsText" text="Thư ký khoa học">
      <formula>NOT(ISERROR(SEARCH("Thư ký khoa học",F35)))</formula>
    </cfRule>
    <cfRule type="containsText" dxfId="519" priority="864" stopIfTrue="1" operator="containsText" text="Chủ nhiệm đề tài">
      <formula>NOT(ISERROR(SEARCH("Chủ nhiệm đề tài",F35)))</formula>
    </cfRule>
  </conditionalFormatting>
  <conditionalFormatting sqref="D81:D84">
    <cfRule type="containsText" dxfId="518" priority="655" stopIfTrue="1" operator="containsText" text="Thành viên chính">
      <formula>NOT(ISERROR(SEARCH("Thành viên chính",D81)))</formula>
    </cfRule>
    <cfRule type="containsText" dxfId="517" priority="656" stopIfTrue="1" operator="containsText" text="Thư ký khoa học">
      <formula>NOT(ISERROR(SEARCH("Thư ký khoa học",D81)))</formula>
    </cfRule>
    <cfRule type="containsText" dxfId="516" priority="657" stopIfTrue="1" operator="containsText" text="Chủ nhiệm đề tài">
      <formula>NOT(ISERROR(SEARCH("Chủ nhiệm đề tài",D81)))</formula>
    </cfRule>
  </conditionalFormatting>
  <conditionalFormatting sqref="E36">
    <cfRule type="containsText" dxfId="515" priority="868" stopIfTrue="1" operator="containsText" text="Thành viên chính">
      <formula>NOT(ISERROR(SEARCH("Thành viên chính",E36)))</formula>
    </cfRule>
    <cfRule type="containsText" dxfId="514" priority="869" stopIfTrue="1" operator="containsText" text="Thư ký khoa học">
      <formula>NOT(ISERROR(SEARCH("Thư ký khoa học",E36)))</formula>
    </cfRule>
    <cfRule type="containsText" dxfId="513" priority="870" stopIfTrue="1" operator="containsText" text="Chủ nhiệm đề tài">
      <formula>NOT(ISERROR(SEARCH("Chủ nhiệm đề tài",E36)))</formula>
    </cfRule>
  </conditionalFormatting>
  <conditionalFormatting sqref="C36">
    <cfRule type="containsText" dxfId="512" priority="871" stopIfTrue="1" operator="containsText" text="Thành viên chính">
      <formula>NOT(ISERROR(SEARCH("Thành viên chính",C36)))</formula>
    </cfRule>
    <cfRule type="containsText" dxfId="511" priority="872" stopIfTrue="1" operator="containsText" text="Thư ký khoa học">
      <formula>NOT(ISERROR(SEARCH("Thư ký khoa học",C36)))</formula>
    </cfRule>
    <cfRule type="containsText" dxfId="510" priority="873" stopIfTrue="1" operator="containsText" text="Chủ nhiệm đề tài">
      <formula>NOT(ISERROR(SEARCH("Chủ nhiệm đề tài",C36)))</formula>
    </cfRule>
  </conditionalFormatting>
  <conditionalFormatting sqref="B35:B37">
    <cfRule type="containsText" dxfId="509" priority="865" stopIfTrue="1" operator="containsText" text="Thành viên chính">
      <formula>NOT(ISERROR(SEARCH("Thành viên chính",B35)))</formula>
    </cfRule>
    <cfRule type="containsText" dxfId="508" priority="866" stopIfTrue="1" operator="containsText" text="Thư ký khoa học">
      <formula>NOT(ISERROR(SEARCH("Thư ký khoa học",B35)))</formula>
    </cfRule>
    <cfRule type="containsText" dxfId="507" priority="867" stopIfTrue="1" operator="containsText" text="Chủ nhiệm đề tài">
      <formula>NOT(ISERROR(SEARCH("Chủ nhiệm đề tài",B35)))</formula>
    </cfRule>
  </conditionalFormatting>
  <conditionalFormatting sqref="E66">
    <cfRule type="containsText" dxfId="506" priority="793" stopIfTrue="1" operator="containsText" text="Thành viên chính">
      <formula>NOT(ISERROR(SEARCH("Thành viên chính",E66)))</formula>
    </cfRule>
    <cfRule type="containsText" dxfId="505" priority="794" stopIfTrue="1" operator="containsText" text="Thư ký khoa học">
      <formula>NOT(ISERROR(SEARCH("Thư ký khoa học",E66)))</formula>
    </cfRule>
    <cfRule type="containsText" dxfId="504" priority="795" stopIfTrue="1" operator="containsText" text="Chủ nhiệm đề tài">
      <formula>NOT(ISERROR(SEARCH("Chủ nhiệm đề tài",E66)))</formula>
    </cfRule>
  </conditionalFormatting>
  <conditionalFormatting sqref="E67:E68">
    <cfRule type="containsText" dxfId="503" priority="796" stopIfTrue="1" operator="containsText" text="Thành viên chính">
      <formula>NOT(ISERROR(SEARCH("Thành viên chính",E67)))</formula>
    </cfRule>
    <cfRule type="containsText" dxfId="502" priority="797" stopIfTrue="1" operator="containsText" text="Thư ký khoa học">
      <formula>NOT(ISERROR(SEARCH("Thư ký khoa học",E67)))</formula>
    </cfRule>
    <cfRule type="containsText" dxfId="501" priority="798" stopIfTrue="1" operator="containsText" text="Chủ nhiệm đề tài">
      <formula>NOT(ISERROR(SEARCH("Chủ nhiệm đề tài",E67)))</formula>
    </cfRule>
  </conditionalFormatting>
  <conditionalFormatting sqref="D90:D93">
    <cfRule type="containsText" dxfId="500" priority="649" stopIfTrue="1" operator="containsText" text="Thành viên chính">
      <formula>NOT(ISERROR(SEARCH("Thành viên chính",D90)))</formula>
    </cfRule>
    <cfRule type="containsText" dxfId="499" priority="650" stopIfTrue="1" operator="containsText" text="Thư ký khoa học">
      <formula>NOT(ISERROR(SEARCH("Thư ký khoa học",D90)))</formula>
    </cfRule>
    <cfRule type="containsText" dxfId="498" priority="651" stopIfTrue="1" operator="containsText" text="Chủ nhiệm đề tài">
      <formula>NOT(ISERROR(SEARCH("Chủ nhiệm đề tài",D90)))</formula>
    </cfRule>
  </conditionalFormatting>
  <conditionalFormatting sqref="D99:D102">
    <cfRule type="containsText" dxfId="497" priority="643" stopIfTrue="1" operator="containsText" text="Thành viên chính">
      <formula>NOT(ISERROR(SEARCH("Thành viên chính",D99)))</formula>
    </cfRule>
    <cfRule type="containsText" dxfId="496" priority="644" stopIfTrue="1" operator="containsText" text="Thư ký khoa học">
      <formula>NOT(ISERROR(SEARCH("Thư ký khoa học",D99)))</formula>
    </cfRule>
    <cfRule type="containsText" dxfId="495" priority="645" stopIfTrue="1" operator="containsText" text="Chủ nhiệm đề tài">
      <formula>NOT(ISERROR(SEARCH("Chủ nhiệm đề tài",D99)))</formula>
    </cfRule>
  </conditionalFormatting>
  <conditionalFormatting sqref="H99:H102">
    <cfRule type="containsText" dxfId="494" priority="724" stopIfTrue="1" operator="containsText" text="Thành viên chính">
      <formula>NOT(ISERROR(SEARCH("Thành viên chính",H99)))</formula>
    </cfRule>
    <cfRule type="containsText" dxfId="493" priority="725" stopIfTrue="1" operator="containsText" text="Thư ký khoa học">
      <formula>NOT(ISERROR(SEARCH("Thư ký khoa học",H99)))</formula>
    </cfRule>
    <cfRule type="containsText" dxfId="492" priority="726" stopIfTrue="1" operator="containsText" text="Chủ nhiệm đề tài">
      <formula>NOT(ISERROR(SEARCH("Chủ nhiệm đề tài",H99)))</formula>
    </cfRule>
  </conditionalFormatting>
  <conditionalFormatting sqref="E99">
    <cfRule type="containsText" dxfId="491" priority="733" stopIfTrue="1" operator="containsText" text="Thành viên chính">
      <formula>NOT(ISERROR(SEARCH("Thành viên chính",E99)))</formula>
    </cfRule>
    <cfRule type="containsText" dxfId="490" priority="734" stopIfTrue="1" operator="containsText" text="Thư ký khoa học">
      <formula>NOT(ISERROR(SEARCH("Thư ký khoa học",E99)))</formula>
    </cfRule>
    <cfRule type="containsText" dxfId="489" priority="735" stopIfTrue="1" operator="containsText" text="Chủ nhiệm đề tài">
      <formula>NOT(ISERROR(SEARCH("Chủ nhiệm đề tài",E99)))</formula>
    </cfRule>
  </conditionalFormatting>
  <conditionalFormatting sqref="B101">
    <cfRule type="containsText" dxfId="488" priority="715" stopIfTrue="1" operator="containsText" text="Thành viên chính">
      <formula>NOT(ISERROR(SEARCH("Thành viên chính",B101)))</formula>
    </cfRule>
    <cfRule type="containsText" dxfId="487" priority="716" stopIfTrue="1" operator="containsText" text="Thư ký khoa học">
      <formula>NOT(ISERROR(SEARCH("Thư ký khoa học",B101)))</formula>
    </cfRule>
    <cfRule type="containsText" dxfId="486" priority="717" stopIfTrue="1" operator="containsText" text="Chủ nhiệm đề tài">
      <formula>NOT(ISERROR(SEARCH("Chủ nhiệm đề tài",B101)))</formula>
    </cfRule>
  </conditionalFormatting>
  <conditionalFormatting sqref="F99:F102">
    <cfRule type="containsText" dxfId="485" priority="727" stopIfTrue="1" operator="containsText" text="Thành viên chính">
      <formula>NOT(ISERROR(SEARCH("Thành viên chính",F99)))</formula>
    </cfRule>
    <cfRule type="containsText" dxfId="484" priority="728" stopIfTrue="1" operator="containsText" text="Thư ký khoa học">
      <formula>NOT(ISERROR(SEARCH("Thư ký khoa học",F99)))</formula>
    </cfRule>
    <cfRule type="containsText" dxfId="483" priority="729" stopIfTrue="1" operator="containsText" text="Chủ nhiệm đề tài">
      <formula>NOT(ISERROR(SEARCH("Chủ nhiệm đề tài",F99)))</formula>
    </cfRule>
  </conditionalFormatting>
  <conditionalFormatting sqref="B99:B100 B102">
    <cfRule type="containsText" dxfId="482" priority="718" stopIfTrue="1" operator="containsText" text="Thành viên chính">
      <formula>NOT(ISERROR(SEARCH("Thành viên chính",B99)))</formula>
    </cfRule>
    <cfRule type="containsText" dxfId="481" priority="719" stopIfTrue="1" operator="containsText" text="Thư ký khoa học">
      <formula>NOT(ISERROR(SEARCH("Thư ký khoa học",B99)))</formula>
    </cfRule>
    <cfRule type="containsText" dxfId="480" priority="720" stopIfTrue="1" operator="containsText" text="Chủ nhiệm đề tài">
      <formula>NOT(ISERROR(SEARCH("Chủ nhiệm đề tài",B99)))</formula>
    </cfRule>
  </conditionalFormatting>
  <conditionalFormatting sqref="C99:C102">
    <cfRule type="containsText" dxfId="479" priority="721" stopIfTrue="1" operator="containsText" text="Thành viên chính">
      <formula>NOT(ISERROR(SEARCH("Thành viên chính",C99)))</formula>
    </cfRule>
    <cfRule type="containsText" dxfId="478" priority="722" stopIfTrue="1" operator="containsText" text="Thư ký khoa học">
      <formula>NOT(ISERROR(SEARCH("Thư ký khoa học",C99)))</formula>
    </cfRule>
    <cfRule type="containsText" dxfId="477" priority="723" stopIfTrue="1" operator="containsText" text="Chủ nhiệm đề tài">
      <formula>NOT(ISERROR(SEARCH("Chủ nhiệm đề tài",C99)))</formula>
    </cfRule>
  </conditionalFormatting>
  <conditionalFormatting sqref="E105">
    <cfRule type="containsText" dxfId="476" priority="712" stopIfTrue="1" operator="containsText" text="Thành viên chính">
      <formula>NOT(ISERROR(SEARCH("Thành viên chính",E105)))</formula>
    </cfRule>
    <cfRule type="containsText" dxfId="475" priority="713" stopIfTrue="1" operator="containsText" text="Thư ký khoa học">
      <formula>NOT(ISERROR(SEARCH("Thư ký khoa học",E105)))</formula>
    </cfRule>
    <cfRule type="containsText" dxfId="474" priority="714" stopIfTrue="1" operator="containsText" text="Chủ nhiệm đề tài">
      <formula>NOT(ISERROR(SEARCH("Chủ nhiệm đề tài",E105)))</formula>
    </cfRule>
  </conditionalFormatting>
  <conditionalFormatting sqref="B105">
    <cfRule type="containsText" dxfId="473" priority="691" stopIfTrue="1" operator="containsText" text="Thành viên chính">
      <formula>NOT(ISERROR(SEARCH("Thành viên chính",B105)))</formula>
    </cfRule>
    <cfRule type="containsText" dxfId="472" priority="692" stopIfTrue="1" operator="containsText" text="Thư ký khoa học">
      <formula>NOT(ISERROR(SEARCH("Thư ký khoa học",B105)))</formula>
    </cfRule>
    <cfRule type="containsText" dxfId="471" priority="693" stopIfTrue="1" operator="containsText" text="Chủ nhiệm đề tài">
      <formula>NOT(ISERROR(SEARCH("Chủ nhiệm đề tài",B105)))</formula>
    </cfRule>
  </conditionalFormatting>
  <conditionalFormatting sqref="H34">
    <cfRule type="containsText" dxfId="470" priority="457" stopIfTrue="1" operator="containsText" text="Thành viên chính">
      <formula>NOT(ISERROR(SEARCH("Thành viên chính",H34)))</formula>
    </cfRule>
    <cfRule type="containsText" dxfId="469" priority="458" stopIfTrue="1" operator="containsText" text="Thư ký khoa học">
      <formula>NOT(ISERROR(SEARCH("Thư ký khoa học",H34)))</formula>
    </cfRule>
    <cfRule type="containsText" dxfId="468" priority="459" stopIfTrue="1" operator="containsText" text="Chủ nhiệm đề tài">
      <formula>NOT(ISERROR(SEARCH("Chủ nhiệm đề tài",H34)))</formula>
    </cfRule>
  </conditionalFormatting>
  <conditionalFormatting sqref="D35:D38">
    <cfRule type="containsText" dxfId="467" priority="607" stopIfTrue="1" operator="containsText" text="Thành viên chính">
      <formula>NOT(ISERROR(SEARCH("Thành viên chính",D35)))</formula>
    </cfRule>
    <cfRule type="containsText" dxfId="466" priority="608" stopIfTrue="1" operator="containsText" text="Thư ký khoa học">
      <formula>NOT(ISERROR(SEARCH("Thư ký khoa học",D35)))</formula>
    </cfRule>
    <cfRule type="containsText" dxfId="465" priority="609" stopIfTrue="1" operator="containsText" text="Chủ nhiệm đề tài">
      <formula>NOT(ISERROR(SEARCH("Chủ nhiệm đề tài",D35)))</formula>
    </cfRule>
  </conditionalFormatting>
  <conditionalFormatting sqref="C130:I130">
    <cfRule type="containsText" dxfId="464" priority="574" stopIfTrue="1" operator="containsText" text="Thành viên chính">
      <formula>NOT(ISERROR(SEARCH("Thành viên chính",C130)))</formula>
    </cfRule>
    <cfRule type="containsText" dxfId="463" priority="575" stopIfTrue="1" operator="containsText" text="Thư ký khoa học">
      <formula>NOT(ISERROR(SEARCH("Thư ký khoa học",C130)))</formula>
    </cfRule>
    <cfRule type="containsText" dxfId="462" priority="576" stopIfTrue="1" operator="containsText" text="Chủ nhiệm đề tài">
      <formula>NOT(ISERROR(SEARCH("Chủ nhiệm đề tài",C130)))</formula>
    </cfRule>
  </conditionalFormatting>
  <conditionalFormatting sqref="D61:D64">
    <cfRule type="containsText" dxfId="461" priority="565" stopIfTrue="1" operator="containsText" text="Thành viên chính">
      <formula>NOT(ISERROR(SEARCH("Thành viên chính",D61)))</formula>
    </cfRule>
    <cfRule type="containsText" dxfId="460" priority="566" stopIfTrue="1" operator="containsText" text="Thư ký khoa học">
      <formula>NOT(ISERROR(SEARCH("Thư ký khoa học",D61)))</formula>
    </cfRule>
    <cfRule type="containsText" dxfId="459" priority="567" stopIfTrue="1" operator="containsText" text="Chủ nhiệm đề tài">
      <formula>NOT(ISERROR(SEARCH("Chủ nhiệm đề tài",D61)))</formula>
    </cfRule>
  </conditionalFormatting>
  <conditionalFormatting sqref="A139:A141 A135:A137">
    <cfRule type="containsText" dxfId="458" priority="556" stopIfTrue="1" operator="containsText" text="Thành viên chính">
      <formula>NOT(ISERROR(FIND(UPPER("Thành viên chính"),UPPER(A135))))</formula>
      <formula>"Thành viên chính"</formula>
    </cfRule>
    <cfRule type="containsText" dxfId="457" priority="557" stopIfTrue="1" operator="containsText" text="Thư ký khoa học">
      <formula>NOT(ISERROR(FIND(UPPER("Thư ký khoa học"),UPPER(A135))))</formula>
      <formula>"Thư ký khoa học"</formula>
    </cfRule>
    <cfRule type="containsText" dxfId="456" priority="558" stopIfTrue="1" operator="containsText" text="Chủ nhiệm đề tài">
      <formula>NOT(ISERROR(FIND(UPPER("Chủ nhiệm đề tài"),UPPER(A135))))</formula>
      <formula>"Chủ nhiệm đề tài"</formula>
    </cfRule>
  </conditionalFormatting>
  <conditionalFormatting sqref="B137 B139:B141">
    <cfRule type="containsText" dxfId="455" priority="553" stopIfTrue="1" operator="containsText" text="Thành viên chính">
      <formula>NOT(ISERROR(SEARCH("Thành viên chính",B137)))</formula>
    </cfRule>
    <cfRule type="containsText" dxfId="454" priority="554" stopIfTrue="1" operator="containsText" text="Thư ký khoa học">
      <formula>NOT(ISERROR(SEARCH("Thư ký khoa học",B137)))</formula>
    </cfRule>
    <cfRule type="containsText" dxfId="453" priority="555" stopIfTrue="1" operator="containsText" text="Chủ nhiệm đề tài">
      <formula>NOT(ISERROR(SEARCH("Chủ nhiệm đề tài",B137)))</formula>
    </cfRule>
  </conditionalFormatting>
  <conditionalFormatting sqref="B135">
    <cfRule type="containsText" dxfId="452" priority="550" stopIfTrue="1" operator="containsText" text="Thành viên chính">
      <formula>NOT(ISERROR(SEARCH("Thành viên chính",B135)))</formula>
    </cfRule>
    <cfRule type="containsText" dxfId="451" priority="551" stopIfTrue="1" operator="containsText" text="Thư ký khoa học">
      <formula>NOT(ISERROR(SEARCH("Thư ký khoa học",B135)))</formula>
    </cfRule>
    <cfRule type="containsText" dxfId="450" priority="552" stopIfTrue="1" operator="containsText" text="Chủ nhiệm đề tài">
      <formula>NOT(ISERROR(SEARCH("Chủ nhiệm đề tài",B135)))</formula>
    </cfRule>
  </conditionalFormatting>
  <conditionalFormatting sqref="B136">
    <cfRule type="containsText" dxfId="449" priority="547" stopIfTrue="1" operator="containsText" text="Thành viên chính">
      <formula>NOT(ISERROR(SEARCH("Thành viên chính",B136)))</formula>
    </cfRule>
    <cfRule type="containsText" dxfId="448" priority="548" stopIfTrue="1" operator="containsText" text="Thư ký khoa học">
      <formula>NOT(ISERROR(SEARCH("Thư ký khoa học",B136)))</formula>
    </cfRule>
    <cfRule type="containsText" dxfId="447" priority="549" stopIfTrue="1" operator="containsText" text="Chủ nhiệm đề tài">
      <formula>NOT(ISERROR(SEARCH("Chủ nhiệm đề tài",B136)))</formula>
    </cfRule>
  </conditionalFormatting>
  <conditionalFormatting sqref="B138">
    <cfRule type="containsText" dxfId="446" priority="544" stopIfTrue="1" operator="containsText" text="Thành viên chính">
      <formula>NOT(ISERROR(SEARCH("Thành viên chính",B138)))</formula>
    </cfRule>
    <cfRule type="containsText" dxfId="445" priority="545" stopIfTrue="1" operator="containsText" text="Thư ký khoa học">
      <formula>NOT(ISERROR(SEARCH("Thư ký khoa học",B138)))</formula>
    </cfRule>
    <cfRule type="containsText" dxfId="444" priority="546" stopIfTrue="1" operator="containsText" text="Chủ nhiệm đề tài">
      <formula>NOT(ISERROR(SEARCH("Chủ nhiệm đề tài",B138)))</formula>
    </cfRule>
  </conditionalFormatting>
  <conditionalFormatting sqref="C9:H9">
    <cfRule type="containsText" dxfId="443" priority="541" stopIfTrue="1" operator="containsText" text="Thành viên chính">
      <formula>NOT(ISERROR(SEARCH("Thành viên chính",C9)))</formula>
    </cfRule>
    <cfRule type="containsText" dxfId="442" priority="542" stopIfTrue="1" operator="containsText" text="Thư ký khoa học">
      <formula>NOT(ISERROR(SEARCH("Thư ký khoa học",C9)))</formula>
    </cfRule>
    <cfRule type="containsText" dxfId="441" priority="543" stopIfTrue="1" operator="containsText" text="Chủ nhiệm đề tài">
      <formula>NOT(ISERROR(SEARCH("Chủ nhiệm đề tài",C9)))</formula>
    </cfRule>
  </conditionalFormatting>
  <conditionalFormatting sqref="A9">
    <cfRule type="containsText" dxfId="440" priority="538" stopIfTrue="1" operator="containsText" text="Thành viên chính">
      <formula>NOT(ISERROR(SEARCH("Thành viên chính",A9)))</formula>
    </cfRule>
    <cfRule type="containsText" dxfId="439" priority="539" stopIfTrue="1" operator="containsText" text="Thư ký khoa học">
      <formula>NOT(ISERROR(SEARCH("Thư ký khoa học",A9)))</formula>
    </cfRule>
    <cfRule type="containsText" dxfId="438" priority="540" stopIfTrue="1" operator="containsText" text="Chủ nhiệm đề tài">
      <formula>NOT(ISERROR(SEARCH("Chủ nhiệm đề tài",A9)))</formula>
    </cfRule>
  </conditionalFormatting>
  <conditionalFormatting sqref="H126">
    <cfRule type="containsText" dxfId="437" priority="508" stopIfTrue="1" operator="containsText" text="Thành viên chính">
      <formula>NOT(ISERROR(SEARCH("Thành viên chính",H126)))</formula>
    </cfRule>
    <cfRule type="containsText" dxfId="436" priority="509" stopIfTrue="1" operator="containsText" text="Thư ký khoa học">
      <formula>NOT(ISERROR(SEARCH("Thư ký khoa học",H126)))</formula>
    </cfRule>
    <cfRule type="containsText" dxfId="435" priority="510" stopIfTrue="1" operator="containsText" text="Chủ nhiệm đề tài">
      <formula>NOT(ISERROR(SEARCH("Chủ nhiệm đề tài",H126)))</formula>
    </cfRule>
  </conditionalFormatting>
  <conditionalFormatting sqref="C39:F39">
    <cfRule type="containsText" dxfId="434" priority="532" stopIfTrue="1" operator="containsText" text="Thành viên chính">
      <formula>NOT(ISERROR(SEARCH("Thành viên chính",C39)))</formula>
    </cfRule>
    <cfRule type="containsText" dxfId="433" priority="533" stopIfTrue="1" operator="containsText" text="Thư ký khoa học">
      <formula>NOT(ISERROR(SEARCH("Thư ký khoa học",C39)))</formula>
    </cfRule>
    <cfRule type="containsText" dxfId="432" priority="534" stopIfTrue="1" operator="containsText" text="Chủ nhiệm đề tài">
      <formula>NOT(ISERROR(SEARCH("Chủ nhiệm đề tài",C39)))</formula>
    </cfRule>
  </conditionalFormatting>
  <conditionalFormatting sqref="A39">
    <cfRule type="containsText" dxfId="431" priority="529" stopIfTrue="1" operator="containsText" text="Thành viên chính">
      <formula>NOT(ISERROR(SEARCH("Thành viên chính",A39)))</formula>
    </cfRule>
    <cfRule type="containsText" dxfId="430" priority="530" stopIfTrue="1" operator="containsText" text="Thư ký khoa học">
      <formula>NOT(ISERROR(SEARCH("Thư ký khoa học",A39)))</formula>
    </cfRule>
    <cfRule type="containsText" dxfId="429" priority="531" stopIfTrue="1" operator="containsText" text="Chủ nhiệm đề tài">
      <formula>NOT(ISERROR(SEARCH("Chủ nhiệm đề tài",A39)))</formula>
    </cfRule>
  </conditionalFormatting>
  <conditionalFormatting sqref="H39">
    <cfRule type="containsText" dxfId="428" priority="526" stopIfTrue="1" operator="containsText" text="Thành viên chính">
      <formula>NOT(ISERROR(SEARCH("Thành viên chính",H39)))</formula>
    </cfRule>
    <cfRule type="containsText" dxfId="427" priority="527" stopIfTrue="1" operator="containsText" text="Thư ký khoa học">
      <formula>NOT(ISERROR(SEARCH("Thư ký khoa học",H39)))</formula>
    </cfRule>
    <cfRule type="containsText" dxfId="426" priority="528" stopIfTrue="1" operator="containsText" text="Chủ nhiệm đề tài">
      <formula>NOT(ISERROR(SEARCH("Chủ nhiệm đề tài",H39)))</formula>
    </cfRule>
  </conditionalFormatting>
  <conditionalFormatting sqref="C75:H75">
    <cfRule type="containsText" dxfId="425" priority="523" stopIfTrue="1" operator="containsText" text="Thành viên chính">
      <formula>NOT(ISERROR(SEARCH("Thành viên chính",C75)))</formula>
    </cfRule>
    <cfRule type="containsText" dxfId="424" priority="524" stopIfTrue="1" operator="containsText" text="Thư ký khoa học">
      <formula>NOT(ISERROR(SEARCH("Thư ký khoa học",C75)))</formula>
    </cfRule>
    <cfRule type="containsText" dxfId="423" priority="525" stopIfTrue="1" operator="containsText" text="Chủ nhiệm đề tài">
      <formula>NOT(ISERROR(SEARCH("Chủ nhiệm đề tài",C75)))</formula>
    </cfRule>
  </conditionalFormatting>
  <conditionalFormatting sqref="A75">
    <cfRule type="containsText" dxfId="422" priority="520" stopIfTrue="1" operator="containsText" text="Thành viên chính">
      <formula>NOT(ISERROR(SEARCH("Thành viên chính",A75)))</formula>
    </cfRule>
    <cfRule type="containsText" dxfId="421" priority="521" stopIfTrue="1" operator="containsText" text="Thư ký khoa học">
      <formula>NOT(ISERROR(SEARCH("Thư ký khoa học",A75)))</formula>
    </cfRule>
    <cfRule type="containsText" dxfId="420" priority="522" stopIfTrue="1" operator="containsText" text="Chủ nhiệm đề tài">
      <formula>NOT(ISERROR(SEARCH("Chủ nhiệm đề tài",A75)))</formula>
    </cfRule>
  </conditionalFormatting>
  <conditionalFormatting sqref="F18">
    <cfRule type="containsText" dxfId="419" priority="490" stopIfTrue="1" operator="containsText" text="Thành viên chính">
      <formula>NOT(ISERROR(SEARCH("Thành viên chính",F18)))</formula>
    </cfRule>
    <cfRule type="containsText" dxfId="418" priority="491" stopIfTrue="1" operator="containsText" text="Thư ký khoa học">
      <formula>NOT(ISERROR(SEARCH("Thư ký khoa học",F18)))</formula>
    </cfRule>
    <cfRule type="containsText" dxfId="417" priority="492" stopIfTrue="1" operator="containsText" text="Chủ nhiệm đề tài">
      <formula>NOT(ISERROR(SEARCH("Chủ nhiệm đề tài",F18)))</formula>
    </cfRule>
  </conditionalFormatting>
  <conditionalFormatting sqref="C126:F126">
    <cfRule type="containsText" dxfId="416" priority="514" stopIfTrue="1" operator="containsText" text="Thành viên chính">
      <formula>NOT(ISERROR(SEARCH("Thành viên chính",C126)))</formula>
    </cfRule>
    <cfRule type="containsText" dxfId="415" priority="515" stopIfTrue="1" operator="containsText" text="Thư ký khoa học">
      <formula>NOT(ISERROR(SEARCH("Thư ký khoa học",C126)))</formula>
    </cfRule>
    <cfRule type="containsText" dxfId="414" priority="516" stopIfTrue="1" operator="containsText" text="Chủ nhiệm đề tài">
      <formula>NOT(ISERROR(SEARCH("Chủ nhiệm đề tài",C126)))</formula>
    </cfRule>
  </conditionalFormatting>
  <conditionalFormatting sqref="A126:A127">
    <cfRule type="containsText" dxfId="413" priority="511" stopIfTrue="1" operator="containsText" text="Thành viên chính">
      <formula>NOT(ISERROR(SEARCH("Thành viên chính",A126)))</formula>
    </cfRule>
    <cfRule type="containsText" dxfId="412" priority="512" stopIfTrue="1" operator="containsText" text="Thư ký khoa học">
      <formula>NOT(ISERROR(SEARCH("Thư ký khoa học",A126)))</formula>
    </cfRule>
    <cfRule type="containsText" dxfId="411" priority="513" stopIfTrue="1" operator="containsText" text="Chủ nhiệm đề tài">
      <formula>NOT(ISERROR(SEARCH("Chủ nhiệm đề tài",A126)))</formula>
    </cfRule>
  </conditionalFormatting>
  <conditionalFormatting sqref="H14">
    <cfRule type="containsText" dxfId="410" priority="502" stopIfTrue="1" operator="containsText" text="Thành viên chính">
      <formula>NOT(ISERROR(SEARCH("Thành viên chính",H14)))</formula>
    </cfRule>
    <cfRule type="containsText" dxfId="409" priority="503" stopIfTrue="1" operator="containsText" text="Thư ký khoa học">
      <formula>NOT(ISERROR(SEARCH("Thư ký khoa học",H14)))</formula>
    </cfRule>
    <cfRule type="containsText" dxfId="408" priority="504" stopIfTrue="1" operator="containsText" text="Chủ nhiệm đề tài">
      <formula>NOT(ISERROR(SEARCH("Chủ nhiệm đề tài",H14)))</formula>
    </cfRule>
  </conditionalFormatting>
  <conditionalFormatting sqref="C14:E14">
    <cfRule type="containsText" dxfId="407" priority="505" stopIfTrue="1" operator="containsText" text="Thành viên chính">
      <formula>NOT(ISERROR(SEARCH("Thành viên chính",C14)))</formula>
    </cfRule>
    <cfRule type="containsText" dxfId="406" priority="506" stopIfTrue="1" operator="containsText" text="Thư ký khoa học">
      <formula>NOT(ISERROR(SEARCH("Thư ký khoa học",C14)))</formula>
    </cfRule>
    <cfRule type="containsText" dxfId="405" priority="507" stopIfTrue="1" operator="containsText" text="Chủ nhiệm đề tài">
      <formula>NOT(ISERROR(SEARCH("Chủ nhiệm đề tài",C14)))</formula>
    </cfRule>
  </conditionalFormatting>
  <conditionalFormatting sqref="F14">
    <cfRule type="containsText" dxfId="404" priority="499" stopIfTrue="1" operator="containsText" text="Thành viên chính">
      <formula>NOT(ISERROR(SEARCH("Thành viên chính",F14)))</formula>
    </cfRule>
    <cfRule type="containsText" dxfId="403" priority="500" stopIfTrue="1" operator="containsText" text="Thư ký khoa học">
      <formula>NOT(ISERROR(SEARCH("Thư ký khoa học",F14)))</formula>
    </cfRule>
    <cfRule type="containsText" dxfId="402" priority="501" stopIfTrue="1" operator="containsText" text="Chủ nhiệm đề tài">
      <formula>NOT(ISERROR(SEARCH("Chủ nhiệm đề tài",F14)))</formula>
    </cfRule>
  </conditionalFormatting>
  <conditionalFormatting sqref="H18">
    <cfRule type="containsText" dxfId="401" priority="493" stopIfTrue="1" operator="containsText" text="Thành viên chính">
      <formula>NOT(ISERROR(SEARCH("Thành viên chính",H18)))</formula>
    </cfRule>
    <cfRule type="containsText" dxfId="400" priority="494" stopIfTrue="1" operator="containsText" text="Thư ký khoa học">
      <formula>NOT(ISERROR(SEARCH("Thư ký khoa học",H18)))</formula>
    </cfRule>
    <cfRule type="containsText" dxfId="399" priority="495" stopIfTrue="1" operator="containsText" text="Chủ nhiệm đề tài">
      <formula>NOT(ISERROR(SEARCH("Chủ nhiệm đề tài",H18)))</formula>
    </cfRule>
  </conditionalFormatting>
  <conditionalFormatting sqref="B18:E18">
    <cfRule type="containsText" dxfId="398" priority="496" stopIfTrue="1" operator="containsText" text="Thành viên chính">
      <formula>NOT(ISERROR(SEARCH("Thành viên chính",B18)))</formula>
    </cfRule>
    <cfRule type="containsText" dxfId="397" priority="497" stopIfTrue="1" operator="containsText" text="Thư ký khoa học">
      <formula>NOT(ISERROR(SEARCH("Thư ký khoa học",B18)))</formula>
    </cfRule>
    <cfRule type="containsText" dxfId="396" priority="498" stopIfTrue="1" operator="containsText" text="Chủ nhiệm đề tài">
      <formula>NOT(ISERROR(SEARCH("Chủ nhiệm đề tài",B18)))</formula>
    </cfRule>
  </conditionalFormatting>
  <conditionalFormatting sqref="H22">
    <cfRule type="containsText" dxfId="395" priority="484" stopIfTrue="1" operator="containsText" text="Thành viên chính">
      <formula>NOT(ISERROR(SEARCH("Thành viên chính",H22)))</formula>
    </cfRule>
    <cfRule type="containsText" dxfId="394" priority="485" stopIfTrue="1" operator="containsText" text="Thư ký khoa học">
      <formula>NOT(ISERROR(SEARCH("Thư ký khoa học",H22)))</formula>
    </cfRule>
    <cfRule type="containsText" dxfId="393" priority="486" stopIfTrue="1" operator="containsText" text="Chủ nhiệm đề tài">
      <formula>NOT(ISERROR(SEARCH("Chủ nhiệm đề tài",H22)))</formula>
    </cfRule>
  </conditionalFormatting>
  <conditionalFormatting sqref="B22:E22">
    <cfRule type="containsText" dxfId="392" priority="487" stopIfTrue="1" operator="containsText" text="Thành viên chính">
      <formula>NOT(ISERROR(SEARCH("Thành viên chính",B22)))</formula>
    </cfRule>
    <cfRule type="containsText" dxfId="391" priority="488" stopIfTrue="1" operator="containsText" text="Thư ký khoa học">
      <formula>NOT(ISERROR(SEARCH("Thư ký khoa học",B22)))</formula>
    </cfRule>
    <cfRule type="containsText" dxfId="390" priority="489" stopIfTrue="1" operator="containsText" text="Chủ nhiệm đề tài">
      <formula>NOT(ISERROR(SEARCH("Chủ nhiệm đề tài",B22)))</formula>
    </cfRule>
  </conditionalFormatting>
  <conditionalFormatting sqref="F22">
    <cfRule type="containsText" dxfId="389" priority="481" stopIfTrue="1" operator="containsText" text="Thành viên chính">
      <formula>NOT(ISERROR(SEARCH("Thành viên chính",F22)))</formula>
    </cfRule>
    <cfRule type="containsText" dxfId="388" priority="482" stopIfTrue="1" operator="containsText" text="Thư ký khoa học">
      <formula>NOT(ISERROR(SEARCH("Thư ký khoa học",F22)))</formula>
    </cfRule>
    <cfRule type="containsText" dxfId="387" priority="483" stopIfTrue="1" operator="containsText" text="Chủ nhiệm đề tài">
      <formula>NOT(ISERROR(SEARCH("Chủ nhiệm đề tài",F22)))</formula>
    </cfRule>
  </conditionalFormatting>
  <conditionalFormatting sqref="H26">
    <cfRule type="containsText" dxfId="386" priority="475" stopIfTrue="1" operator="containsText" text="Thành viên chính">
      <formula>NOT(ISERROR(SEARCH("Thành viên chính",H26)))</formula>
    </cfRule>
    <cfRule type="containsText" dxfId="385" priority="476" stopIfTrue="1" operator="containsText" text="Thư ký khoa học">
      <formula>NOT(ISERROR(SEARCH("Thư ký khoa học",H26)))</formula>
    </cfRule>
    <cfRule type="containsText" dxfId="384" priority="477" stopIfTrue="1" operator="containsText" text="Chủ nhiệm đề tài">
      <formula>NOT(ISERROR(SEARCH("Chủ nhiệm đề tài",H26)))</formula>
    </cfRule>
  </conditionalFormatting>
  <conditionalFormatting sqref="B26:E26">
    <cfRule type="containsText" dxfId="383" priority="478" stopIfTrue="1" operator="containsText" text="Thành viên chính">
      <formula>NOT(ISERROR(SEARCH("Thành viên chính",B26)))</formula>
    </cfRule>
    <cfRule type="containsText" dxfId="382" priority="479" stopIfTrue="1" operator="containsText" text="Thư ký khoa học">
      <formula>NOT(ISERROR(SEARCH("Thư ký khoa học",B26)))</formula>
    </cfRule>
    <cfRule type="containsText" dxfId="381" priority="480" stopIfTrue="1" operator="containsText" text="Chủ nhiệm đề tài">
      <formula>NOT(ISERROR(SEARCH("Chủ nhiệm đề tài",B26)))</formula>
    </cfRule>
  </conditionalFormatting>
  <conditionalFormatting sqref="F26">
    <cfRule type="containsText" dxfId="380" priority="472" stopIfTrue="1" operator="containsText" text="Thành viên chính">
      <formula>NOT(ISERROR(SEARCH("Thành viên chính",F26)))</formula>
    </cfRule>
    <cfRule type="containsText" dxfId="379" priority="473" stopIfTrue="1" operator="containsText" text="Thư ký khoa học">
      <formula>NOT(ISERROR(SEARCH("Thư ký khoa học",F26)))</formula>
    </cfRule>
    <cfRule type="containsText" dxfId="378" priority="474" stopIfTrue="1" operator="containsText" text="Chủ nhiệm đề tài">
      <formula>NOT(ISERROR(SEARCH("Chủ nhiệm đề tài",F26)))</formula>
    </cfRule>
  </conditionalFormatting>
  <conditionalFormatting sqref="H30">
    <cfRule type="containsText" dxfId="377" priority="466" stopIfTrue="1" operator="containsText" text="Thành viên chính">
      <formula>NOT(ISERROR(SEARCH("Thành viên chính",H30)))</formula>
    </cfRule>
    <cfRule type="containsText" dxfId="376" priority="467" stopIfTrue="1" operator="containsText" text="Thư ký khoa học">
      <formula>NOT(ISERROR(SEARCH("Thư ký khoa học",H30)))</formula>
    </cfRule>
    <cfRule type="containsText" dxfId="375" priority="468" stopIfTrue="1" operator="containsText" text="Chủ nhiệm đề tài">
      <formula>NOT(ISERROR(SEARCH("Chủ nhiệm đề tài",H30)))</formula>
    </cfRule>
  </conditionalFormatting>
  <conditionalFormatting sqref="B30:E30">
    <cfRule type="containsText" dxfId="374" priority="469" stopIfTrue="1" operator="containsText" text="Thành viên chính">
      <formula>NOT(ISERROR(SEARCH("Thành viên chính",B30)))</formula>
    </cfRule>
    <cfRule type="containsText" dxfId="373" priority="470" stopIfTrue="1" operator="containsText" text="Thư ký khoa học">
      <formula>NOT(ISERROR(SEARCH("Thư ký khoa học",B30)))</formula>
    </cfRule>
    <cfRule type="containsText" dxfId="372" priority="471" stopIfTrue="1" operator="containsText" text="Chủ nhiệm đề tài">
      <formula>NOT(ISERROR(SEARCH("Chủ nhiệm đề tài",B30)))</formula>
    </cfRule>
  </conditionalFormatting>
  <conditionalFormatting sqref="F30">
    <cfRule type="containsText" dxfId="371" priority="463" stopIfTrue="1" operator="containsText" text="Thành viên chính">
      <formula>NOT(ISERROR(SEARCH("Thành viên chính",F30)))</formula>
    </cfRule>
    <cfRule type="containsText" dxfId="370" priority="464" stopIfTrue="1" operator="containsText" text="Thư ký khoa học">
      <formula>NOT(ISERROR(SEARCH("Thư ký khoa học",F30)))</formula>
    </cfRule>
    <cfRule type="containsText" dxfId="369" priority="465" stopIfTrue="1" operator="containsText" text="Chủ nhiệm đề tài">
      <formula>NOT(ISERROR(SEARCH("Chủ nhiệm đề tài",F30)))</formula>
    </cfRule>
  </conditionalFormatting>
  <conditionalFormatting sqref="B34:E34">
    <cfRule type="containsText" dxfId="368" priority="460" stopIfTrue="1" operator="containsText" text="Thành viên chính">
      <formula>NOT(ISERROR(SEARCH("Thành viên chính",B34)))</formula>
    </cfRule>
    <cfRule type="containsText" dxfId="367" priority="461" stopIfTrue="1" operator="containsText" text="Thư ký khoa học">
      <formula>NOT(ISERROR(SEARCH("Thư ký khoa học",B34)))</formula>
    </cfRule>
    <cfRule type="containsText" dxfId="366" priority="462" stopIfTrue="1" operator="containsText" text="Chủ nhiệm đề tài">
      <formula>NOT(ISERROR(SEARCH("Chủ nhiệm đề tài",B34)))</formula>
    </cfRule>
  </conditionalFormatting>
  <conditionalFormatting sqref="F34">
    <cfRule type="containsText" dxfId="365" priority="454" stopIfTrue="1" operator="containsText" text="Thành viên chính">
      <formula>NOT(ISERROR(SEARCH("Thành viên chính",F34)))</formula>
    </cfRule>
    <cfRule type="containsText" dxfId="364" priority="455" stopIfTrue="1" operator="containsText" text="Thư ký khoa học">
      <formula>NOT(ISERROR(SEARCH("Thư ký khoa học",F34)))</formula>
    </cfRule>
    <cfRule type="containsText" dxfId="363" priority="456" stopIfTrue="1" operator="containsText" text="Chủ nhiệm đề tài">
      <formula>NOT(ISERROR(SEARCH("Chủ nhiệm đề tài",F34)))</formula>
    </cfRule>
  </conditionalFormatting>
  <conditionalFormatting sqref="H40">
    <cfRule type="containsText" dxfId="362" priority="439" stopIfTrue="1" operator="containsText" text="Thành viên chính">
      <formula>NOT(ISERROR(SEARCH("Thành viên chính",H40)))</formula>
    </cfRule>
    <cfRule type="containsText" dxfId="361" priority="440" stopIfTrue="1" operator="containsText" text="Thư ký khoa học">
      <formula>NOT(ISERROR(SEARCH("Thư ký khoa học",H40)))</formula>
    </cfRule>
    <cfRule type="containsText" dxfId="360" priority="441" stopIfTrue="1" operator="containsText" text="Chủ nhiệm đề tài">
      <formula>NOT(ISERROR(SEARCH("Chủ nhiệm đề tài",H40)))</formula>
    </cfRule>
  </conditionalFormatting>
  <conditionalFormatting sqref="B40:E40">
    <cfRule type="containsText" dxfId="359" priority="442" stopIfTrue="1" operator="containsText" text="Thành viên chính">
      <formula>NOT(ISERROR(SEARCH("Thành viên chính",B40)))</formula>
    </cfRule>
    <cfRule type="containsText" dxfId="358" priority="443" stopIfTrue="1" operator="containsText" text="Thư ký khoa học">
      <formula>NOT(ISERROR(SEARCH("Thư ký khoa học",B40)))</formula>
    </cfRule>
    <cfRule type="containsText" dxfId="357" priority="444" stopIfTrue="1" operator="containsText" text="Chủ nhiệm đề tài">
      <formula>NOT(ISERROR(SEARCH("Chủ nhiệm đề tài",B40)))</formula>
    </cfRule>
  </conditionalFormatting>
  <conditionalFormatting sqref="F40">
    <cfRule type="containsText" dxfId="356" priority="436" stopIfTrue="1" operator="containsText" text="Thành viên chính">
      <formula>NOT(ISERROR(SEARCH("Thành viên chính",F40)))</formula>
    </cfRule>
    <cfRule type="containsText" dxfId="355" priority="437" stopIfTrue="1" operator="containsText" text="Thư ký khoa học">
      <formula>NOT(ISERROR(SEARCH("Thư ký khoa học",F40)))</formula>
    </cfRule>
    <cfRule type="containsText" dxfId="354" priority="438" stopIfTrue="1" operator="containsText" text="Chủ nhiệm đề tài">
      <formula>NOT(ISERROR(SEARCH("Chủ nhiệm đề tài",F40)))</formula>
    </cfRule>
  </conditionalFormatting>
  <conditionalFormatting sqref="H44">
    <cfRule type="containsText" dxfId="353" priority="430" stopIfTrue="1" operator="containsText" text="Thành viên chính">
      <formula>NOT(ISERROR(SEARCH("Thành viên chính",H44)))</formula>
    </cfRule>
    <cfRule type="containsText" dxfId="352" priority="431" stopIfTrue="1" operator="containsText" text="Thư ký khoa học">
      <formula>NOT(ISERROR(SEARCH("Thư ký khoa học",H44)))</formula>
    </cfRule>
    <cfRule type="containsText" dxfId="351" priority="432" stopIfTrue="1" operator="containsText" text="Chủ nhiệm đề tài">
      <formula>NOT(ISERROR(SEARCH("Chủ nhiệm đề tài",H44)))</formula>
    </cfRule>
  </conditionalFormatting>
  <conditionalFormatting sqref="B44:E44">
    <cfRule type="containsText" dxfId="350" priority="433" stopIfTrue="1" operator="containsText" text="Thành viên chính">
      <formula>NOT(ISERROR(SEARCH("Thành viên chính",B44)))</formula>
    </cfRule>
    <cfRule type="containsText" dxfId="349" priority="434" stopIfTrue="1" operator="containsText" text="Thư ký khoa học">
      <formula>NOT(ISERROR(SEARCH("Thư ký khoa học",B44)))</formula>
    </cfRule>
    <cfRule type="containsText" dxfId="348" priority="435" stopIfTrue="1" operator="containsText" text="Chủ nhiệm đề tài">
      <formula>NOT(ISERROR(SEARCH("Chủ nhiệm đề tài",B44)))</formula>
    </cfRule>
  </conditionalFormatting>
  <conditionalFormatting sqref="F44">
    <cfRule type="containsText" dxfId="347" priority="427" stopIfTrue="1" operator="containsText" text="Thành viên chính">
      <formula>NOT(ISERROR(SEARCH("Thành viên chính",F44)))</formula>
    </cfRule>
    <cfRule type="containsText" dxfId="346" priority="428" stopIfTrue="1" operator="containsText" text="Thư ký khoa học">
      <formula>NOT(ISERROR(SEARCH("Thư ký khoa học",F44)))</formula>
    </cfRule>
    <cfRule type="containsText" dxfId="345" priority="429" stopIfTrue="1" operator="containsText" text="Chủ nhiệm đề tài">
      <formula>NOT(ISERROR(SEARCH("Chủ nhiệm đề tài",F44)))</formula>
    </cfRule>
  </conditionalFormatting>
  <conditionalFormatting sqref="H48">
    <cfRule type="containsText" dxfId="344" priority="421" stopIfTrue="1" operator="containsText" text="Thành viên chính">
      <formula>NOT(ISERROR(SEARCH("Thành viên chính",H48)))</formula>
    </cfRule>
    <cfRule type="containsText" dxfId="343" priority="422" stopIfTrue="1" operator="containsText" text="Thư ký khoa học">
      <formula>NOT(ISERROR(SEARCH("Thư ký khoa học",H48)))</formula>
    </cfRule>
    <cfRule type="containsText" dxfId="342" priority="423" stopIfTrue="1" operator="containsText" text="Chủ nhiệm đề tài">
      <formula>NOT(ISERROR(SEARCH("Chủ nhiệm đề tài",H48)))</formula>
    </cfRule>
  </conditionalFormatting>
  <conditionalFormatting sqref="B48:E48">
    <cfRule type="containsText" dxfId="341" priority="424" stopIfTrue="1" operator="containsText" text="Thành viên chính">
      <formula>NOT(ISERROR(SEARCH("Thành viên chính",B48)))</formula>
    </cfRule>
    <cfRule type="containsText" dxfId="340" priority="425" stopIfTrue="1" operator="containsText" text="Thư ký khoa học">
      <formula>NOT(ISERROR(SEARCH("Thư ký khoa học",B48)))</formula>
    </cfRule>
    <cfRule type="containsText" dxfId="339" priority="426" stopIfTrue="1" operator="containsText" text="Chủ nhiệm đề tài">
      <formula>NOT(ISERROR(SEARCH("Chủ nhiệm đề tài",B48)))</formula>
    </cfRule>
  </conditionalFormatting>
  <conditionalFormatting sqref="F48">
    <cfRule type="containsText" dxfId="338" priority="418" stopIfTrue="1" operator="containsText" text="Thành viên chính">
      <formula>NOT(ISERROR(SEARCH("Thành viên chính",F48)))</formula>
    </cfRule>
    <cfRule type="containsText" dxfId="337" priority="419" stopIfTrue="1" operator="containsText" text="Thư ký khoa học">
      <formula>NOT(ISERROR(SEARCH("Thư ký khoa học",F48)))</formula>
    </cfRule>
    <cfRule type="containsText" dxfId="336" priority="420" stopIfTrue="1" operator="containsText" text="Chủ nhiệm đề tài">
      <formula>NOT(ISERROR(SEARCH("Chủ nhiệm đề tài",F48)))</formula>
    </cfRule>
  </conditionalFormatting>
  <conditionalFormatting sqref="H52">
    <cfRule type="containsText" dxfId="335" priority="412" stopIfTrue="1" operator="containsText" text="Thành viên chính">
      <formula>NOT(ISERROR(SEARCH("Thành viên chính",H52)))</formula>
    </cfRule>
    <cfRule type="containsText" dxfId="334" priority="413" stopIfTrue="1" operator="containsText" text="Thư ký khoa học">
      <formula>NOT(ISERROR(SEARCH("Thư ký khoa học",H52)))</formula>
    </cfRule>
    <cfRule type="containsText" dxfId="333" priority="414" stopIfTrue="1" operator="containsText" text="Chủ nhiệm đề tài">
      <formula>NOT(ISERROR(SEARCH("Chủ nhiệm đề tài",H52)))</formula>
    </cfRule>
  </conditionalFormatting>
  <conditionalFormatting sqref="B52:E52">
    <cfRule type="containsText" dxfId="332" priority="415" stopIfTrue="1" operator="containsText" text="Thành viên chính">
      <formula>NOT(ISERROR(SEARCH("Thành viên chính",B52)))</formula>
    </cfRule>
    <cfRule type="containsText" dxfId="331" priority="416" stopIfTrue="1" operator="containsText" text="Thư ký khoa học">
      <formula>NOT(ISERROR(SEARCH("Thư ký khoa học",B52)))</formula>
    </cfRule>
    <cfRule type="containsText" dxfId="330" priority="417" stopIfTrue="1" operator="containsText" text="Chủ nhiệm đề tài">
      <formula>NOT(ISERROR(SEARCH("Chủ nhiệm đề tài",B52)))</formula>
    </cfRule>
  </conditionalFormatting>
  <conditionalFormatting sqref="F52">
    <cfRule type="containsText" dxfId="329" priority="409" stopIfTrue="1" operator="containsText" text="Thành viên chính">
      <formula>NOT(ISERROR(SEARCH("Thành viên chính",F52)))</formula>
    </cfRule>
    <cfRule type="containsText" dxfId="328" priority="410" stopIfTrue="1" operator="containsText" text="Thư ký khoa học">
      <formula>NOT(ISERROR(SEARCH("Thư ký khoa học",F52)))</formula>
    </cfRule>
    <cfRule type="containsText" dxfId="327" priority="411" stopIfTrue="1" operator="containsText" text="Chủ nhiệm đề tài">
      <formula>NOT(ISERROR(SEARCH("Chủ nhiệm đề tài",F52)))</formula>
    </cfRule>
  </conditionalFormatting>
  <conditionalFormatting sqref="H56">
    <cfRule type="containsText" dxfId="326" priority="403" stopIfTrue="1" operator="containsText" text="Thành viên chính">
      <formula>NOT(ISERROR(SEARCH("Thành viên chính",H56)))</formula>
    </cfRule>
    <cfRule type="containsText" dxfId="325" priority="404" stopIfTrue="1" operator="containsText" text="Thư ký khoa học">
      <formula>NOT(ISERROR(SEARCH("Thư ký khoa học",H56)))</formula>
    </cfRule>
    <cfRule type="containsText" dxfId="324" priority="405" stopIfTrue="1" operator="containsText" text="Chủ nhiệm đề tài">
      <formula>NOT(ISERROR(SEARCH("Chủ nhiệm đề tài",H56)))</formula>
    </cfRule>
  </conditionalFormatting>
  <conditionalFormatting sqref="B56:E56">
    <cfRule type="containsText" dxfId="323" priority="406" stopIfTrue="1" operator="containsText" text="Thành viên chính">
      <formula>NOT(ISERROR(SEARCH("Thành viên chính",B56)))</formula>
    </cfRule>
    <cfRule type="containsText" dxfId="322" priority="407" stopIfTrue="1" operator="containsText" text="Thư ký khoa học">
      <formula>NOT(ISERROR(SEARCH("Thư ký khoa học",B56)))</formula>
    </cfRule>
    <cfRule type="containsText" dxfId="321" priority="408" stopIfTrue="1" operator="containsText" text="Chủ nhiệm đề tài">
      <formula>NOT(ISERROR(SEARCH("Chủ nhiệm đề tài",B56)))</formula>
    </cfRule>
  </conditionalFormatting>
  <conditionalFormatting sqref="F56">
    <cfRule type="containsText" dxfId="320" priority="400" stopIfTrue="1" operator="containsText" text="Thành viên chính">
      <formula>NOT(ISERROR(SEARCH("Thành viên chính",F56)))</formula>
    </cfRule>
    <cfRule type="containsText" dxfId="319" priority="401" stopIfTrue="1" operator="containsText" text="Thư ký khoa học">
      <formula>NOT(ISERROR(SEARCH("Thư ký khoa học",F56)))</formula>
    </cfRule>
    <cfRule type="containsText" dxfId="318" priority="402" stopIfTrue="1" operator="containsText" text="Chủ nhiệm đề tài">
      <formula>NOT(ISERROR(SEARCH("Chủ nhiệm đề tài",F56)))</formula>
    </cfRule>
  </conditionalFormatting>
  <conditionalFormatting sqref="H60">
    <cfRule type="containsText" dxfId="317" priority="394" stopIfTrue="1" operator="containsText" text="Thành viên chính">
      <formula>NOT(ISERROR(SEARCH("Thành viên chính",H60)))</formula>
    </cfRule>
    <cfRule type="containsText" dxfId="316" priority="395" stopIfTrue="1" operator="containsText" text="Thư ký khoa học">
      <formula>NOT(ISERROR(SEARCH("Thư ký khoa học",H60)))</formula>
    </cfRule>
    <cfRule type="containsText" dxfId="315" priority="396" stopIfTrue="1" operator="containsText" text="Chủ nhiệm đề tài">
      <formula>NOT(ISERROR(SEARCH("Chủ nhiệm đề tài",H60)))</formula>
    </cfRule>
  </conditionalFormatting>
  <conditionalFormatting sqref="B60:E60">
    <cfRule type="containsText" dxfId="314" priority="397" stopIfTrue="1" operator="containsText" text="Thành viên chính">
      <formula>NOT(ISERROR(SEARCH("Thành viên chính",B60)))</formula>
    </cfRule>
    <cfRule type="containsText" dxfId="313" priority="398" stopIfTrue="1" operator="containsText" text="Thư ký khoa học">
      <formula>NOT(ISERROR(SEARCH("Thư ký khoa học",B60)))</formula>
    </cfRule>
    <cfRule type="containsText" dxfId="312" priority="399" stopIfTrue="1" operator="containsText" text="Chủ nhiệm đề tài">
      <formula>NOT(ISERROR(SEARCH("Chủ nhiệm đề tài",B60)))</formula>
    </cfRule>
  </conditionalFormatting>
  <conditionalFormatting sqref="F60">
    <cfRule type="containsText" dxfId="311" priority="391" stopIfTrue="1" operator="containsText" text="Thành viên chính">
      <formula>NOT(ISERROR(SEARCH("Thành viên chính",F60)))</formula>
    </cfRule>
    <cfRule type="containsText" dxfId="310" priority="392" stopIfTrue="1" operator="containsText" text="Thư ký khoa học">
      <formula>NOT(ISERROR(SEARCH("Thư ký khoa học",F60)))</formula>
    </cfRule>
    <cfRule type="containsText" dxfId="309" priority="393" stopIfTrue="1" operator="containsText" text="Chủ nhiệm đề tài">
      <formula>NOT(ISERROR(SEARCH("Chủ nhiệm đề tài",F60)))</formula>
    </cfRule>
  </conditionalFormatting>
  <conditionalFormatting sqref="H65">
    <cfRule type="containsText" dxfId="308" priority="385" stopIfTrue="1" operator="containsText" text="Thành viên chính">
      <formula>NOT(ISERROR(SEARCH("Thành viên chính",H65)))</formula>
    </cfRule>
    <cfRule type="containsText" dxfId="307" priority="386" stopIfTrue="1" operator="containsText" text="Thư ký khoa học">
      <formula>NOT(ISERROR(SEARCH("Thư ký khoa học",H65)))</formula>
    </cfRule>
    <cfRule type="containsText" dxfId="306" priority="387" stopIfTrue="1" operator="containsText" text="Chủ nhiệm đề tài">
      <formula>NOT(ISERROR(SEARCH("Chủ nhiệm đề tài",H65)))</formula>
    </cfRule>
  </conditionalFormatting>
  <conditionalFormatting sqref="B65:E65">
    <cfRule type="containsText" dxfId="305" priority="388" stopIfTrue="1" operator="containsText" text="Thành viên chính">
      <formula>NOT(ISERROR(SEARCH("Thành viên chính",B65)))</formula>
    </cfRule>
    <cfRule type="containsText" dxfId="304" priority="389" stopIfTrue="1" operator="containsText" text="Thư ký khoa học">
      <formula>NOT(ISERROR(SEARCH("Thư ký khoa học",B65)))</formula>
    </cfRule>
    <cfRule type="containsText" dxfId="303" priority="390" stopIfTrue="1" operator="containsText" text="Chủ nhiệm đề tài">
      <formula>NOT(ISERROR(SEARCH("Chủ nhiệm đề tài",B65)))</formula>
    </cfRule>
  </conditionalFormatting>
  <conditionalFormatting sqref="F65">
    <cfRule type="containsText" dxfId="302" priority="382" stopIfTrue="1" operator="containsText" text="Thành viên chính">
      <formula>NOT(ISERROR(SEARCH("Thành viên chính",F65)))</formula>
    </cfRule>
    <cfRule type="containsText" dxfId="301" priority="383" stopIfTrue="1" operator="containsText" text="Thư ký khoa học">
      <formula>NOT(ISERROR(SEARCH("Thư ký khoa học",F65)))</formula>
    </cfRule>
    <cfRule type="containsText" dxfId="300" priority="384" stopIfTrue="1" operator="containsText" text="Chủ nhiệm đề tài">
      <formula>NOT(ISERROR(SEARCH("Chủ nhiệm đề tài",F65)))</formula>
    </cfRule>
  </conditionalFormatting>
  <conditionalFormatting sqref="H72">
    <cfRule type="containsText" dxfId="299" priority="376" stopIfTrue="1" operator="containsText" text="Thành viên chính">
      <formula>NOT(ISERROR(SEARCH("Thành viên chính",H72)))</formula>
    </cfRule>
    <cfRule type="containsText" dxfId="298" priority="377" stopIfTrue="1" operator="containsText" text="Thư ký khoa học">
      <formula>NOT(ISERROR(SEARCH("Thư ký khoa học",H72)))</formula>
    </cfRule>
    <cfRule type="containsText" dxfId="297" priority="378" stopIfTrue="1" operator="containsText" text="Chủ nhiệm đề tài">
      <formula>NOT(ISERROR(SEARCH("Chủ nhiệm đề tài",H72)))</formula>
    </cfRule>
  </conditionalFormatting>
  <conditionalFormatting sqref="B72:E72">
    <cfRule type="containsText" dxfId="296" priority="379" stopIfTrue="1" operator="containsText" text="Thành viên chính">
      <formula>NOT(ISERROR(SEARCH("Thành viên chính",B72)))</formula>
    </cfRule>
    <cfRule type="containsText" dxfId="295" priority="380" stopIfTrue="1" operator="containsText" text="Thư ký khoa học">
      <formula>NOT(ISERROR(SEARCH("Thư ký khoa học",B72)))</formula>
    </cfRule>
    <cfRule type="containsText" dxfId="294" priority="381" stopIfTrue="1" operator="containsText" text="Chủ nhiệm đề tài">
      <formula>NOT(ISERROR(SEARCH("Chủ nhiệm đề tài",B72)))</formula>
    </cfRule>
  </conditionalFormatting>
  <conditionalFormatting sqref="F72">
    <cfRule type="containsText" dxfId="293" priority="373" stopIfTrue="1" operator="containsText" text="Thành viên chính">
      <formula>NOT(ISERROR(SEARCH("Thành viên chính",F72)))</formula>
    </cfRule>
    <cfRule type="containsText" dxfId="292" priority="374" stopIfTrue="1" operator="containsText" text="Thư ký khoa học">
      <formula>NOT(ISERROR(SEARCH("Thư ký khoa học",F72)))</formula>
    </cfRule>
    <cfRule type="containsText" dxfId="291" priority="375" stopIfTrue="1" operator="containsText" text="Chủ nhiệm đề tài">
      <formula>NOT(ISERROR(SEARCH("Chủ nhiệm đề tài",F72)))</formula>
    </cfRule>
  </conditionalFormatting>
  <conditionalFormatting sqref="H76">
    <cfRule type="containsText" dxfId="290" priority="367" stopIfTrue="1" operator="containsText" text="Thành viên chính">
      <formula>NOT(ISERROR(SEARCH("Thành viên chính",H76)))</formula>
    </cfRule>
    <cfRule type="containsText" dxfId="289" priority="368" stopIfTrue="1" operator="containsText" text="Thư ký khoa học">
      <formula>NOT(ISERROR(SEARCH("Thư ký khoa học",H76)))</formula>
    </cfRule>
    <cfRule type="containsText" dxfId="288" priority="369" stopIfTrue="1" operator="containsText" text="Chủ nhiệm đề tài">
      <formula>NOT(ISERROR(SEARCH("Chủ nhiệm đề tài",H76)))</formula>
    </cfRule>
  </conditionalFormatting>
  <conditionalFormatting sqref="B76:E76">
    <cfRule type="containsText" dxfId="287" priority="370" stopIfTrue="1" operator="containsText" text="Thành viên chính">
      <formula>NOT(ISERROR(SEARCH("Thành viên chính",B76)))</formula>
    </cfRule>
    <cfRule type="containsText" dxfId="286" priority="371" stopIfTrue="1" operator="containsText" text="Thư ký khoa học">
      <formula>NOT(ISERROR(SEARCH("Thư ký khoa học",B76)))</formula>
    </cfRule>
    <cfRule type="containsText" dxfId="285" priority="372" stopIfTrue="1" operator="containsText" text="Chủ nhiệm đề tài">
      <formula>NOT(ISERROR(SEARCH("Chủ nhiệm đề tài",B76)))</formula>
    </cfRule>
  </conditionalFormatting>
  <conditionalFormatting sqref="F76">
    <cfRule type="containsText" dxfId="284" priority="364" stopIfTrue="1" operator="containsText" text="Thành viên chính">
      <formula>NOT(ISERROR(SEARCH("Thành viên chính",F76)))</formula>
    </cfRule>
    <cfRule type="containsText" dxfId="283" priority="365" stopIfTrue="1" operator="containsText" text="Thư ký khoa học">
      <formula>NOT(ISERROR(SEARCH("Thư ký khoa học",F76)))</formula>
    </cfRule>
    <cfRule type="containsText" dxfId="282" priority="366" stopIfTrue="1" operator="containsText" text="Chủ nhiệm đề tài">
      <formula>NOT(ISERROR(SEARCH("Chủ nhiệm đề tài",F76)))</formula>
    </cfRule>
  </conditionalFormatting>
  <conditionalFormatting sqref="H80">
    <cfRule type="containsText" dxfId="281" priority="358" stopIfTrue="1" operator="containsText" text="Thành viên chính">
      <formula>NOT(ISERROR(SEARCH("Thành viên chính",H80)))</formula>
    </cfRule>
    <cfRule type="containsText" dxfId="280" priority="359" stopIfTrue="1" operator="containsText" text="Thư ký khoa học">
      <formula>NOT(ISERROR(SEARCH("Thư ký khoa học",H80)))</formula>
    </cfRule>
    <cfRule type="containsText" dxfId="279" priority="360" stopIfTrue="1" operator="containsText" text="Chủ nhiệm đề tài">
      <formula>NOT(ISERROR(SEARCH("Chủ nhiệm đề tài",H80)))</formula>
    </cfRule>
  </conditionalFormatting>
  <conditionalFormatting sqref="B80:E80">
    <cfRule type="containsText" dxfId="278" priority="361" stopIfTrue="1" operator="containsText" text="Thành viên chính">
      <formula>NOT(ISERROR(SEARCH("Thành viên chính",B80)))</formula>
    </cfRule>
    <cfRule type="containsText" dxfId="277" priority="362" stopIfTrue="1" operator="containsText" text="Thư ký khoa học">
      <formula>NOT(ISERROR(SEARCH("Thư ký khoa học",B80)))</formula>
    </cfRule>
    <cfRule type="containsText" dxfId="276" priority="363" stopIfTrue="1" operator="containsText" text="Chủ nhiệm đề tài">
      <formula>NOT(ISERROR(SEARCH("Chủ nhiệm đề tài",B80)))</formula>
    </cfRule>
  </conditionalFormatting>
  <conditionalFormatting sqref="F80">
    <cfRule type="containsText" dxfId="275" priority="355" stopIfTrue="1" operator="containsText" text="Thành viên chính">
      <formula>NOT(ISERROR(SEARCH("Thành viên chính",F80)))</formula>
    </cfRule>
    <cfRule type="containsText" dxfId="274" priority="356" stopIfTrue="1" operator="containsText" text="Thư ký khoa học">
      <formula>NOT(ISERROR(SEARCH("Thư ký khoa học",F80)))</formula>
    </cfRule>
    <cfRule type="containsText" dxfId="273" priority="357" stopIfTrue="1" operator="containsText" text="Chủ nhiệm đề tài">
      <formula>NOT(ISERROR(SEARCH("Chủ nhiệm đề tài",F80)))</formula>
    </cfRule>
  </conditionalFormatting>
  <conditionalFormatting sqref="H85">
    <cfRule type="containsText" dxfId="272" priority="349" stopIfTrue="1" operator="containsText" text="Thành viên chính">
      <formula>NOT(ISERROR(SEARCH("Thành viên chính",H85)))</formula>
    </cfRule>
    <cfRule type="containsText" dxfId="271" priority="350" stopIfTrue="1" operator="containsText" text="Thư ký khoa học">
      <formula>NOT(ISERROR(SEARCH("Thư ký khoa học",H85)))</formula>
    </cfRule>
    <cfRule type="containsText" dxfId="270" priority="351" stopIfTrue="1" operator="containsText" text="Chủ nhiệm đề tài">
      <formula>NOT(ISERROR(SEARCH("Chủ nhiệm đề tài",H85)))</formula>
    </cfRule>
  </conditionalFormatting>
  <conditionalFormatting sqref="B85:E85">
    <cfRule type="containsText" dxfId="269" priority="352" stopIfTrue="1" operator="containsText" text="Thành viên chính">
      <formula>NOT(ISERROR(SEARCH("Thành viên chính",B85)))</formula>
    </cfRule>
    <cfRule type="containsText" dxfId="268" priority="353" stopIfTrue="1" operator="containsText" text="Thư ký khoa học">
      <formula>NOT(ISERROR(SEARCH("Thư ký khoa học",B85)))</formula>
    </cfRule>
    <cfRule type="containsText" dxfId="267" priority="354" stopIfTrue="1" operator="containsText" text="Chủ nhiệm đề tài">
      <formula>NOT(ISERROR(SEARCH("Chủ nhiệm đề tài",B85)))</formula>
    </cfRule>
  </conditionalFormatting>
  <conditionalFormatting sqref="F85">
    <cfRule type="containsText" dxfId="266" priority="346" stopIfTrue="1" operator="containsText" text="Thành viên chính">
      <formula>NOT(ISERROR(SEARCH("Thành viên chính",F85)))</formula>
    </cfRule>
    <cfRule type="containsText" dxfId="265" priority="347" stopIfTrue="1" operator="containsText" text="Thư ký khoa học">
      <formula>NOT(ISERROR(SEARCH("Thư ký khoa học",F85)))</formula>
    </cfRule>
    <cfRule type="containsText" dxfId="264" priority="348" stopIfTrue="1" operator="containsText" text="Chủ nhiệm đề tài">
      <formula>NOT(ISERROR(SEARCH("Chủ nhiệm đề tài",F85)))</formula>
    </cfRule>
  </conditionalFormatting>
  <conditionalFormatting sqref="H89">
    <cfRule type="containsText" dxfId="263" priority="340" stopIfTrue="1" operator="containsText" text="Thành viên chính">
      <formula>NOT(ISERROR(SEARCH("Thành viên chính",H89)))</formula>
    </cfRule>
    <cfRule type="containsText" dxfId="262" priority="341" stopIfTrue="1" operator="containsText" text="Thư ký khoa học">
      <formula>NOT(ISERROR(SEARCH("Thư ký khoa học",H89)))</formula>
    </cfRule>
    <cfRule type="containsText" dxfId="261" priority="342" stopIfTrue="1" operator="containsText" text="Chủ nhiệm đề tài">
      <formula>NOT(ISERROR(SEARCH("Chủ nhiệm đề tài",H89)))</formula>
    </cfRule>
  </conditionalFormatting>
  <conditionalFormatting sqref="B89:E89">
    <cfRule type="containsText" dxfId="260" priority="343" stopIfTrue="1" operator="containsText" text="Thành viên chính">
      <formula>NOT(ISERROR(SEARCH("Thành viên chính",B89)))</formula>
    </cfRule>
    <cfRule type="containsText" dxfId="259" priority="344" stopIfTrue="1" operator="containsText" text="Thư ký khoa học">
      <formula>NOT(ISERROR(SEARCH("Thư ký khoa học",B89)))</formula>
    </cfRule>
    <cfRule type="containsText" dxfId="258" priority="345" stopIfTrue="1" operator="containsText" text="Chủ nhiệm đề tài">
      <formula>NOT(ISERROR(SEARCH("Chủ nhiệm đề tài",B89)))</formula>
    </cfRule>
  </conditionalFormatting>
  <conditionalFormatting sqref="F89">
    <cfRule type="containsText" dxfId="257" priority="337" stopIfTrue="1" operator="containsText" text="Thành viên chính">
      <formula>NOT(ISERROR(SEARCH("Thành viên chính",F89)))</formula>
    </cfRule>
    <cfRule type="containsText" dxfId="256" priority="338" stopIfTrue="1" operator="containsText" text="Thư ký khoa học">
      <formula>NOT(ISERROR(SEARCH("Thư ký khoa học",F89)))</formula>
    </cfRule>
    <cfRule type="containsText" dxfId="255" priority="339" stopIfTrue="1" operator="containsText" text="Chủ nhiệm đề tài">
      <formula>NOT(ISERROR(SEARCH("Chủ nhiệm đề tài",F89)))</formula>
    </cfRule>
  </conditionalFormatting>
  <conditionalFormatting sqref="H94">
    <cfRule type="containsText" dxfId="254" priority="331" stopIfTrue="1" operator="containsText" text="Thành viên chính">
      <formula>NOT(ISERROR(SEARCH("Thành viên chính",H94)))</formula>
    </cfRule>
    <cfRule type="containsText" dxfId="253" priority="332" stopIfTrue="1" operator="containsText" text="Thư ký khoa học">
      <formula>NOT(ISERROR(SEARCH("Thư ký khoa học",H94)))</formula>
    </cfRule>
    <cfRule type="containsText" dxfId="252" priority="333" stopIfTrue="1" operator="containsText" text="Chủ nhiệm đề tài">
      <formula>NOT(ISERROR(SEARCH("Chủ nhiệm đề tài",H94)))</formula>
    </cfRule>
  </conditionalFormatting>
  <conditionalFormatting sqref="B94:E94">
    <cfRule type="containsText" dxfId="251" priority="334" stopIfTrue="1" operator="containsText" text="Thành viên chính">
      <formula>NOT(ISERROR(SEARCH("Thành viên chính",B94)))</formula>
    </cfRule>
    <cfRule type="containsText" dxfId="250" priority="335" stopIfTrue="1" operator="containsText" text="Thư ký khoa học">
      <formula>NOT(ISERROR(SEARCH("Thư ký khoa học",B94)))</formula>
    </cfRule>
    <cfRule type="containsText" dxfId="249" priority="336" stopIfTrue="1" operator="containsText" text="Chủ nhiệm đề tài">
      <formula>NOT(ISERROR(SEARCH("Chủ nhiệm đề tài",B94)))</formula>
    </cfRule>
  </conditionalFormatting>
  <conditionalFormatting sqref="F94">
    <cfRule type="containsText" dxfId="248" priority="328" stopIfTrue="1" operator="containsText" text="Thành viên chính">
      <formula>NOT(ISERROR(SEARCH("Thành viên chính",F94)))</formula>
    </cfRule>
    <cfRule type="containsText" dxfId="247" priority="329" stopIfTrue="1" operator="containsText" text="Thư ký khoa học">
      <formula>NOT(ISERROR(SEARCH("Thư ký khoa học",F94)))</formula>
    </cfRule>
    <cfRule type="containsText" dxfId="246" priority="330" stopIfTrue="1" operator="containsText" text="Chủ nhiệm đề tài">
      <formula>NOT(ISERROR(SEARCH("Chủ nhiệm đề tài",F94)))</formula>
    </cfRule>
  </conditionalFormatting>
  <conditionalFormatting sqref="H98">
    <cfRule type="containsText" dxfId="245" priority="322" stopIfTrue="1" operator="containsText" text="Thành viên chính">
      <formula>NOT(ISERROR(SEARCH("Thành viên chính",H98)))</formula>
    </cfRule>
    <cfRule type="containsText" dxfId="244" priority="323" stopIfTrue="1" operator="containsText" text="Thư ký khoa học">
      <formula>NOT(ISERROR(SEARCH("Thư ký khoa học",H98)))</formula>
    </cfRule>
    <cfRule type="containsText" dxfId="243" priority="324" stopIfTrue="1" operator="containsText" text="Chủ nhiệm đề tài">
      <formula>NOT(ISERROR(SEARCH("Chủ nhiệm đề tài",H98)))</formula>
    </cfRule>
  </conditionalFormatting>
  <conditionalFormatting sqref="B98:E98">
    <cfRule type="containsText" dxfId="242" priority="325" stopIfTrue="1" operator="containsText" text="Thành viên chính">
      <formula>NOT(ISERROR(SEARCH("Thành viên chính",B98)))</formula>
    </cfRule>
    <cfRule type="containsText" dxfId="241" priority="326" stopIfTrue="1" operator="containsText" text="Thư ký khoa học">
      <formula>NOT(ISERROR(SEARCH("Thư ký khoa học",B98)))</formula>
    </cfRule>
    <cfRule type="containsText" dxfId="240" priority="327" stopIfTrue="1" operator="containsText" text="Chủ nhiệm đề tài">
      <formula>NOT(ISERROR(SEARCH("Chủ nhiệm đề tài",B98)))</formula>
    </cfRule>
  </conditionalFormatting>
  <conditionalFormatting sqref="F98">
    <cfRule type="containsText" dxfId="239" priority="319" stopIfTrue="1" operator="containsText" text="Thành viên chính">
      <formula>NOT(ISERROR(SEARCH("Thành viên chính",F98)))</formula>
    </cfRule>
    <cfRule type="containsText" dxfId="238" priority="320" stopIfTrue="1" operator="containsText" text="Thư ký khoa học">
      <formula>NOT(ISERROR(SEARCH("Thư ký khoa học",F98)))</formula>
    </cfRule>
    <cfRule type="containsText" dxfId="237" priority="321" stopIfTrue="1" operator="containsText" text="Chủ nhiệm đề tài">
      <formula>NOT(ISERROR(SEARCH("Chủ nhiệm đề tài",F98)))</formula>
    </cfRule>
  </conditionalFormatting>
  <conditionalFormatting sqref="H103">
    <cfRule type="containsText" dxfId="236" priority="313" stopIfTrue="1" operator="containsText" text="Thành viên chính">
      <formula>NOT(ISERROR(SEARCH("Thành viên chính",H103)))</formula>
    </cfRule>
    <cfRule type="containsText" dxfId="235" priority="314" stopIfTrue="1" operator="containsText" text="Thư ký khoa học">
      <formula>NOT(ISERROR(SEARCH("Thư ký khoa học",H103)))</formula>
    </cfRule>
    <cfRule type="containsText" dxfId="234" priority="315" stopIfTrue="1" operator="containsText" text="Chủ nhiệm đề tài">
      <formula>NOT(ISERROR(SEARCH("Chủ nhiệm đề tài",H103)))</formula>
    </cfRule>
  </conditionalFormatting>
  <conditionalFormatting sqref="B103:E103">
    <cfRule type="containsText" dxfId="233" priority="316" stopIfTrue="1" operator="containsText" text="Thành viên chính">
      <formula>NOT(ISERROR(SEARCH("Thành viên chính",B103)))</formula>
    </cfRule>
    <cfRule type="containsText" dxfId="232" priority="317" stopIfTrue="1" operator="containsText" text="Thư ký khoa học">
      <formula>NOT(ISERROR(SEARCH("Thư ký khoa học",B103)))</formula>
    </cfRule>
    <cfRule type="containsText" dxfId="231" priority="318" stopIfTrue="1" operator="containsText" text="Chủ nhiệm đề tài">
      <formula>NOT(ISERROR(SEARCH("Chủ nhiệm đề tài",B103)))</formula>
    </cfRule>
  </conditionalFormatting>
  <conditionalFormatting sqref="F103">
    <cfRule type="containsText" dxfId="230" priority="310" stopIfTrue="1" operator="containsText" text="Thành viên chính">
      <formula>NOT(ISERROR(SEARCH("Thành viên chính",F103)))</formula>
    </cfRule>
    <cfRule type="containsText" dxfId="229" priority="311" stopIfTrue="1" operator="containsText" text="Thư ký khoa học">
      <formula>NOT(ISERROR(SEARCH("Thư ký khoa học",F103)))</formula>
    </cfRule>
    <cfRule type="containsText" dxfId="228" priority="312" stopIfTrue="1" operator="containsText" text="Chủ nhiệm đề tài">
      <formula>NOT(ISERROR(SEARCH("Chủ nhiệm đề tài",F103)))</formula>
    </cfRule>
  </conditionalFormatting>
  <conditionalFormatting sqref="H117">
    <cfRule type="containsText" dxfId="227" priority="124" stopIfTrue="1" operator="containsText" text="Thành viên chính">
      <formula>NOT(ISERROR(SEARCH("Thành viên chính",H117)))</formula>
    </cfRule>
    <cfRule type="containsText" dxfId="226" priority="125" stopIfTrue="1" operator="containsText" text="Thư ký khoa học">
      <formula>NOT(ISERROR(SEARCH("Thư ký khoa học",H117)))</formula>
    </cfRule>
    <cfRule type="containsText" dxfId="225" priority="126" stopIfTrue="1" operator="containsText" text="Chủ nhiệm đề tài">
      <formula>NOT(ISERROR(SEARCH("Chủ nhiệm đề tài",H117)))</formula>
    </cfRule>
  </conditionalFormatting>
  <conditionalFormatting sqref="B117:E117">
    <cfRule type="containsText" dxfId="224" priority="127" stopIfTrue="1" operator="containsText" text="Thành viên chính">
      <formula>NOT(ISERROR(SEARCH("Thành viên chính",B117)))</formula>
    </cfRule>
    <cfRule type="containsText" dxfId="223" priority="128" stopIfTrue="1" operator="containsText" text="Thư ký khoa học">
      <formula>NOT(ISERROR(SEARCH("Thư ký khoa học",B117)))</formula>
    </cfRule>
    <cfRule type="containsText" dxfId="222" priority="129" stopIfTrue="1" operator="containsText" text="Chủ nhiệm đề tài">
      <formula>NOT(ISERROR(SEARCH("Chủ nhiệm đề tài",B117)))</formula>
    </cfRule>
  </conditionalFormatting>
  <conditionalFormatting sqref="F117">
    <cfRule type="containsText" dxfId="221" priority="121" stopIfTrue="1" operator="containsText" text="Thành viên chính">
      <formula>NOT(ISERROR(SEARCH("Thành viên chính",F117)))</formula>
    </cfRule>
    <cfRule type="containsText" dxfId="220" priority="122" stopIfTrue="1" operator="containsText" text="Thư ký khoa học">
      <formula>NOT(ISERROR(SEARCH("Thư ký khoa học",F117)))</formula>
    </cfRule>
    <cfRule type="containsText" dxfId="219" priority="123" stopIfTrue="1" operator="containsText" text="Chủ nhiệm đề tài">
      <formula>NOT(ISERROR(SEARCH("Chủ nhiệm đề tài",F117)))</formula>
    </cfRule>
  </conditionalFormatting>
  <conditionalFormatting sqref="C132:D132">
    <cfRule type="containsText" dxfId="218" priority="292" stopIfTrue="1" operator="containsText" text="Thành viên chính">
      <formula>NOT(ISERROR(SEARCH("Thành viên chính",C132)))</formula>
    </cfRule>
    <cfRule type="containsText" dxfId="217" priority="293" stopIfTrue="1" operator="containsText" text="Thư ký khoa học">
      <formula>NOT(ISERROR(SEARCH("Thư ký khoa học",C132)))</formula>
    </cfRule>
    <cfRule type="containsText" dxfId="216" priority="294" stopIfTrue="1" operator="containsText" text="Chủ nhiệm đề tài">
      <formula>NOT(ISERROR(SEARCH("Chủ nhiệm đề tài",C132)))</formula>
    </cfRule>
  </conditionalFormatting>
  <conditionalFormatting sqref="A132">
    <cfRule type="containsText" dxfId="215" priority="298" stopIfTrue="1" operator="containsText" text="Thành viên chính">
      <formula>NOT(ISERROR(SEARCH("Thành viên chính",A132)))</formula>
    </cfRule>
    <cfRule type="containsText" dxfId="214" priority="299" stopIfTrue="1" operator="containsText" text="Thư ký khoa học">
      <formula>NOT(ISERROR(SEARCH("Thư ký khoa học",A132)))</formula>
    </cfRule>
    <cfRule type="containsText" dxfId="213" priority="300" stopIfTrue="1" operator="containsText" text="Chủ nhiệm đề tài">
      <formula>NOT(ISERROR(SEARCH("Chủ nhiệm đề tài",A132)))</formula>
    </cfRule>
  </conditionalFormatting>
  <conditionalFormatting sqref="B132">
    <cfRule type="containsText" dxfId="212" priority="295" stopIfTrue="1" operator="containsText" text="Thành viên chính">
      <formula>NOT(ISERROR(SEARCH("Thành viên chính",B132)))</formula>
    </cfRule>
    <cfRule type="containsText" dxfId="211" priority="296" stopIfTrue="1" operator="containsText" text="Thư ký khoa học">
      <formula>NOT(ISERROR(SEARCH("Thư ký khoa học",B132)))</formula>
    </cfRule>
    <cfRule type="containsText" dxfId="210" priority="297" stopIfTrue="1" operator="containsText" text="Chủ nhiệm đề tài">
      <formula>NOT(ISERROR(SEARCH("Chủ nhiệm đề tài",B132)))</formula>
    </cfRule>
  </conditionalFormatting>
  <conditionalFormatting sqref="B7:F7">
    <cfRule type="containsText" dxfId="209" priority="289" stopIfTrue="1" operator="containsText" text="Thành viên chính">
      <formula>NOT(ISERROR(SEARCH("Thành viên chính",B7)))</formula>
    </cfRule>
    <cfRule type="containsText" dxfId="208" priority="290" stopIfTrue="1" operator="containsText" text="Thư ký khoa học">
      <formula>NOT(ISERROR(SEARCH("Thư ký khoa học",B7)))</formula>
    </cfRule>
    <cfRule type="containsText" dxfId="207" priority="291" stopIfTrue="1" operator="containsText" text="Chủ nhiệm đề tài">
      <formula>NOT(ISERROR(SEARCH("Chủ nhiệm đề tài",B7)))</formula>
    </cfRule>
  </conditionalFormatting>
  <conditionalFormatting sqref="H7">
    <cfRule type="containsText" dxfId="206" priority="286" stopIfTrue="1" operator="containsText" text="Thành viên chính">
      <formula>NOT(ISERROR(SEARCH("Thành viên chính",H7)))</formula>
    </cfRule>
    <cfRule type="containsText" dxfId="205" priority="287" stopIfTrue="1" operator="containsText" text="Thư ký khoa học">
      <formula>NOT(ISERROR(SEARCH("Thư ký khoa học",H7)))</formula>
    </cfRule>
    <cfRule type="containsText" dxfId="204" priority="288" stopIfTrue="1" operator="containsText" text="Chủ nhiệm đề tài">
      <formula>NOT(ISERROR(SEARCH("Chủ nhiệm đề tài",H7)))</formula>
    </cfRule>
  </conditionalFormatting>
  <conditionalFormatting sqref="B9">
    <cfRule type="containsText" dxfId="203" priority="283" stopIfTrue="1" operator="containsText" text="Thành viên chính">
      <formula>NOT(ISERROR(SEARCH("Thành viên chính",B9)))</formula>
    </cfRule>
    <cfRule type="containsText" dxfId="202" priority="284" stopIfTrue="1" operator="containsText" text="Thư ký khoa học">
      <formula>NOT(ISERROR(SEARCH("Thư ký khoa học",B9)))</formula>
    </cfRule>
    <cfRule type="containsText" dxfId="201" priority="285" stopIfTrue="1" operator="containsText" text="Chủ nhiệm đề tài">
      <formula>NOT(ISERROR(SEARCH("Chủ nhiệm đề tài",B9)))</formula>
    </cfRule>
  </conditionalFormatting>
  <conditionalFormatting sqref="B14">
    <cfRule type="containsText" dxfId="200" priority="280" stopIfTrue="1" operator="containsText" text="Thành viên chính">
      <formula>NOT(ISERROR(SEARCH("Thành viên chính",B14)))</formula>
    </cfRule>
    <cfRule type="containsText" dxfId="199" priority="281" stopIfTrue="1" operator="containsText" text="Thư ký khoa học">
      <formula>NOT(ISERROR(SEARCH("Thư ký khoa học",B14)))</formula>
    </cfRule>
    <cfRule type="containsText" dxfId="198" priority="282" stopIfTrue="1" operator="containsText" text="Chủ nhiệm đề tài">
      <formula>NOT(ISERROR(SEARCH("Chủ nhiệm đề tài",B14)))</formula>
    </cfRule>
  </conditionalFormatting>
  <conditionalFormatting sqref="F70 E71:F71 A70:D71 H70:H71">
    <cfRule type="containsText" dxfId="197" priority="274" stopIfTrue="1" operator="containsText" text="Thành viên chính">
      <formula>NOT(ISERROR(SEARCH("Thành viên chính",A70)))</formula>
    </cfRule>
    <cfRule type="containsText" dxfId="196" priority="275" stopIfTrue="1" operator="containsText" text="Thư ký khoa học">
      <formula>NOT(ISERROR(SEARCH("Thư ký khoa học",A70)))</formula>
    </cfRule>
    <cfRule type="containsText" dxfId="195" priority="276" stopIfTrue="1" operator="containsText" text="Chủ nhiệm đề tài">
      <formula>NOT(ISERROR(SEARCH("Chủ nhiệm đề tài",A70)))</formula>
    </cfRule>
  </conditionalFormatting>
  <conditionalFormatting sqref="E70">
    <cfRule type="containsText" dxfId="194" priority="277" stopIfTrue="1" operator="containsText" text="Thành viên chính">
      <formula>NOT(ISERROR(SEARCH("Thành viên chính",E70)))</formula>
    </cfRule>
    <cfRule type="containsText" dxfId="193" priority="278" stopIfTrue="1" operator="containsText" text="Thư ký khoa học">
      <formula>NOT(ISERROR(SEARCH("Thư ký khoa học",E70)))</formula>
    </cfRule>
    <cfRule type="containsText" dxfId="192" priority="279" stopIfTrue="1" operator="containsText" text="Chủ nhiệm đề tài">
      <formula>NOT(ISERROR(SEARCH("Chủ nhiệm đề tài",E70)))</formula>
    </cfRule>
  </conditionalFormatting>
  <conditionalFormatting sqref="H69">
    <cfRule type="containsText" dxfId="191" priority="268" stopIfTrue="1" operator="containsText" text="Thành viên chính">
      <formula>NOT(ISERROR(SEARCH("Thành viên chính",H69)))</formula>
    </cfRule>
    <cfRule type="containsText" dxfId="190" priority="269" stopIfTrue="1" operator="containsText" text="Thư ký khoa học">
      <formula>NOT(ISERROR(SEARCH("Thư ký khoa học",H69)))</formula>
    </cfRule>
    <cfRule type="containsText" dxfId="189" priority="270" stopIfTrue="1" operator="containsText" text="Chủ nhiệm đề tài">
      <formula>NOT(ISERROR(SEARCH("Chủ nhiệm đề tài",H69)))</formula>
    </cfRule>
  </conditionalFormatting>
  <conditionalFormatting sqref="B69:E69">
    <cfRule type="containsText" dxfId="188" priority="271" stopIfTrue="1" operator="containsText" text="Thành viên chính">
      <formula>NOT(ISERROR(SEARCH("Thành viên chính",B69)))</formula>
    </cfRule>
    <cfRule type="containsText" dxfId="187" priority="272" stopIfTrue="1" operator="containsText" text="Thư ký khoa học">
      <formula>NOT(ISERROR(SEARCH("Thư ký khoa học",B69)))</formula>
    </cfRule>
    <cfRule type="containsText" dxfId="186" priority="273" stopIfTrue="1" operator="containsText" text="Chủ nhiệm đề tài">
      <formula>NOT(ISERROR(SEARCH("Chủ nhiệm đề tài",B69)))</formula>
    </cfRule>
  </conditionalFormatting>
  <conditionalFormatting sqref="F69">
    <cfRule type="containsText" dxfId="185" priority="265" stopIfTrue="1" operator="containsText" text="Thành viên chính">
      <formula>NOT(ISERROR(SEARCH("Thành viên chính",F69)))</formula>
    </cfRule>
    <cfRule type="containsText" dxfId="184" priority="266" stopIfTrue="1" operator="containsText" text="Thư ký khoa học">
      <formula>NOT(ISERROR(SEARCH("Thư ký khoa học",F69)))</formula>
    </cfRule>
    <cfRule type="containsText" dxfId="183" priority="267" stopIfTrue="1" operator="containsText" text="Chủ nhiệm đề tài">
      <formula>NOT(ISERROR(SEARCH("Chủ nhiệm đề tài",F69)))</formula>
    </cfRule>
  </conditionalFormatting>
  <conditionalFormatting sqref="E113:E114 H109:H111 F109:F111 A109:D110 H113:H116 H118:H120 F118:F120 A118:A120 C118:D120 H122:H125 A111 C111:D111">
    <cfRule type="containsText" dxfId="182" priority="232" stopIfTrue="1" operator="containsText" text="Thành viên chính">
      <formula>NOT(ISERROR(SEARCH("Thành viên chính",A109)))</formula>
    </cfRule>
    <cfRule type="containsText" dxfId="181" priority="233" stopIfTrue="1" operator="containsText" text="Thư ký khoa học">
      <formula>NOT(ISERROR(SEARCH("Thư ký khoa học",A109)))</formula>
    </cfRule>
    <cfRule type="containsText" dxfId="180" priority="234" stopIfTrue="1" operator="containsText" text="Chủ nhiệm đề tài">
      <formula>NOT(ISERROR(SEARCH("Chủ nhiệm đề tài",A109)))</formula>
    </cfRule>
  </conditionalFormatting>
  <conditionalFormatting sqref="F113:F116">
    <cfRule type="containsText" dxfId="179" priority="229" stopIfTrue="1" operator="containsText" text="Thành viên chính">
      <formula>NOT(ISERROR(SEARCH("Thành viên chính",F113)))</formula>
    </cfRule>
    <cfRule type="containsText" dxfId="178" priority="230" stopIfTrue="1" operator="containsText" text="Thư ký khoa học">
      <formula>NOT(ISERROR(SEARCH("Thư ký khoa học",F113)))</formula>
    </cfRule>
    <cfRule type="containsText" dxfId="177" priority="231" stopIfTrue="1" operator="containsText" text="Chủ nhiệm đề tài">
      <formula>NOT(ISERROR(SEARCH("Chủ nhiệm đề tài",F113)))</formula>
    </cfRule>
  </conditionalFormatting>
  <conditionalFormatting sqref="E119:E120">
    <cfRule type="containsText" dxfId="176" priority="262" stopIfTrue="1" operator="containsText" text="Thành viên chính">
      <formula>NOT(ISERROR(SEARCH("Thành viên chính",E119)))</formula>
    </cfRule>
    <cfRule type="containsText" dxfId="175" priority="263" stopIfTrue="1" operator="containsText" text="Thư ký khoa học">
      <formula>NOT(ISERROR(SEARCH("Thư ký khoa học",E119)))</formula>
    </cfRule>
    <cfRule type="containsText" dxfId="174" priority="264" stopIfTrue="1" operator="containsText" text="Chủ nhiệm đề tài">
      <formula>NOT(ISERROR(SEARCH("Chủ nhiệm đề tài",E119)))</formula>
    </cfRule>
  </conditionalFormatting>
  <conditionalFormatting sqref="E118">
    <cfRule type="containsText" dxfId="173" priority="259" stopIfTrue="1" operator="containsText" text="Thành viên chính">
      <formula>NOT(ISERROR(SEARCH("Thành viên chính",E118)))</formula>
    </cfRule>
    <cfRule type="containsText" dxfId="172" priority="260" stopIfTrue="1" operator="containsText" text="Thư ký khoa học">
      <formula>NOT(ISERROR(SEARCH("Thư ký khoa học",E118)))</formula>
    </cfRule>
    <cfRule type="containsText" dxfId="171" priority="261" stopIfTrue="1" operator="containsText" text="Chủ nhiệm đề tài">
      <formula>NOT(ISERROR(SEARCH("Chủ nhiệm đề tài",E118)))</formula>
    </cfRule>
  </conditionalFormatting>
  <conditionalFormatting sqref="E124:E125">
    <cfRule type="containsText" dxfId="170" priority="256" stopIfTrue="1" operator="containsText" text="Thành viên chính">
      <formula>NOT(ISERROR(SEARCH("Thành viên chính",E124)))</formula>
    </cfRule>
    <cfRule type="containsText" dxfId="169" priority="257" stopIfTrue="1" operator="containsText" text="Thư ký khoa học">
      <formula>NOT(ISERROR(SEARCH("Thư ký khoa học",E124)))</formula>
    </cfRule>
    <cfRule type="containsText" dxfId="168" priority="258" stopIfTrue="1" operator="containsText" text="Chủ nhiệm đề tài">
      <formula>NOT(ISERROR(SEARCH("Chủ nhiệm đề tài",E124)))</formula>
    </cfRule>
  </conditionalFormatting>
  <conditionalFormatting sqref="E122">
    <cfRule type="containsText" dxfId="167" priority="253" stopIfTrue="1" operator="containsText" text="Thành viên chính">
      <formula>NOT(ISERROR(SEARCH("Thành viên chính",E122)))</formula>
    </cfRule>
    <cfRule type="containsText" dxfId="166" priority="254" stopIfTrue="1" operator="containsText" text="Thư ký khoa học">
      <formula>NOT(ISERROR(SEARCH("Thư ký khoa học",E122)))</formula>
    </cfRule>
    <cfRule type="containsText" dxfId="165" priority="255" stopIfTrue="1" operator="containsText" text="Chủ nhiệm đề tài">
      <formula>NOT(ISERROR(SEARCH("Chủ nhiệm đề tài",E122)))</formula>
    </cfRule>
  </conditionalFormatting>
  <conditionalFormatting sqref="F122:F125">
    <cfRule type="containsText" dxfId="164" priority="250" stopIfTrue="1" operator="containsText" text="Thành viên chính">
      <formula>NOT(ISERROR(SEARCH("Thành viên chính",F122)))</formula>
    </cfRule>
    <cfRule type="containsText" dxfId="163" priority="251" stopIfTrue="1" operator="containsText" text="Thư ký khoa học">
      <formula>NOT(ISERROR(SEARCH("Thư ký khoa học",F122)))</formula>
    </cfRule>
    <cfRule type="containsText" dxfId="162" priority="252" stopIfTrue="1" operator="containsText" text="Chủ nhiệm đề tài">
      <formula>NOT(ISERROR(SEARCH("Chủ nhiệm đề tài",F122)))</formula>
    </cfRule>
  </conditionalFormatting>
  <conditionalFormatting sqref="E110">
    <cfRule type="containsText" dxfId="161" priority="241" stopIfTrue="1" operator="containsText" text="Thành viên chính">
      <formula>NOT(ISERROR(SEARCH("Thành viên chính",E110)))</formula>
    </cfRule>
    <cfRule type="containsText" dxfId="160" priority="242" stopIfTrue="1" operator="containsText" text="Thư ký khoa học">
      <formula>NOT(ISERROR(SEARCH("Thư ký khoa học",E110)))</formula>
    </cfRule>
    <cfRule type="containsText" dxfId="159" priority="243" stopIfTrue="1" operator="containsText" text="Chủ nhiệm đề tài">
      <formula>NOT(ISERROR(SEARCH("Chủ nhiệm đề tài",E110)))</formula>
    </cfRule>
  </conditionalFormatting>
  <conditionalFormatting sqref="E109">
    <cfRule type="containsText" dxfId="158" priority="238" stopIfTrue="1" operator="containsText" text="Thành viên chính">
      <formula>NOT(ISERROR(SEARCH("Thành viên chính",E109)))</formula>
    </cfRule>
    <cfRule type="containsText" dxfId="157" priority="239" stopIfTrue="1" operator="containsText" text="Thư ký khoa học">
      <formula>NOT(ISERROR(SEARCH("Thư ký khoa học",E109)))</formula>
    </cfRule>
    <cfRule type="containsText" dxfId="156" priority="240" stopIfTrue="1" operator="containsText" text="Chủ nhiệm đề tài">
      <formula>NOT(ISERROR(SEARCH("Chủ nhiệm đề tài",E109)))</formula>
    </cfRule>
  </conditionalFormatting>
  <conditionalFormatting sqref="E115:E116">
    <cfRule type="containsText" dxfId="155" priority="235" stopIfTrue="1" operator="containsText" text="Thành viên chính">
      <formula>NOT(ISERROR(SEARCH("Thành viên chính",E115)))</formula>
    </cfRule>
    <cfRule type="containsText" dxfId="154" priority="236" stopIfTrue="1" operator="containsText" text="Thư ký khoa học">
      <formula>NOT(ISERROR(SEARCH("Thư ký khoa học",E115)))</formula>
    </cfRule>
    <cfRule type="containsText" dxfId="153" priority="237" stopIfTrue="1" operator="containsText" text="Chủ nhiệm đề tài">
      <formula>NOT(ISERROR(SEARCH("Chủ nhiệm đề tài",E115)))</formula>
    </cfRule>
  </conditionalFormatting>
  <conditionalFormatting sqref="A125">
    <cfRule type="containsText" dxfId="152" priority="211" stopIfTrue="1" operator="containsText" text="Thành viên chính">
      <formula>NOT(ISERROR(SEARCH("Thành viên chính",A125)))</formula>
    </cfRule>
    <cfRule type="containsText" dxfId="151" priority="212" stopIfTrue="1" operator="containsText" text="Thư ký khoa học">
      <formula>NOT(ISERROR(SEARCH("Thư ký khoa học",A125)))</formula>
    </cfRule>
    <cfRule type="containsText" dxfId="150" priority="213" stopIfTrue="1" operator="containsText" text="Chủ nhiệm đề tài">
      <formula>NOT(ISERROR(SEARCH("Chủ nhiệm đề tài",A125)))</formula>
    </cfRule>
  </conditionalFormatting>
  <conditionalFormatting sqref="B122:B123 B125">
    <cfRule type="containsText" dxfId="149" priority="217" stopIfTrue="1" operator="containsText" text="Thành viên chính">
      <formula>NOT(ISERROR(SEARCH("Thành viên chính",B122)))</formula>
    </cfRule>
    <cfRule type="containsText" dxfId="148" priority="218" stopIfTrue="1" operator="containsText" text="Thư ký khoa học">
      <formula>NOT(ISERROR(SEARCH("Thư ký khoa học",B122)))</formula>
    </cfRule>
    <cfRule type="containsText" dxfId="147" priority="219" stopIfTrue="1" operator="containsText" text="Chủ nhiệm đề tài">
      <formula>NOT(ISERROR(SEARCH("Chủ nhiệm đề tài",B122)))</formula>
    </cfRule>
  </conditionalFormatting>
  <conditionalFormatting sqref="B118 B120">
    <cfRule type="containsText" dxfId="146" priority="223" stopIfTrue="1" operator="containsText" text="Thành viên chính">
      <formula>NOT(ISERROR(SEARCH("Thành viên chính",B118)))</formula>
    </cfRule>
    <cfRule type="containsText" dxfId="145" priority="224" stopIfTrue="1" operator="containsText" text="Thư ký khoa học">
      <formula>NOT(ISERROR(SEARCH("Thư ký khoa học",B118)))</formula>
    </cfRule>
    <cfRule type="containsText" dxfId="144" priority="225" stopIfTrue="1" operator="containsText" text="Chủ nhiệm đề tài">
      <formula>NOT(ISERROR(SEARCH("Chủ nhiệm đề tài",B118)))</formula>
    </cfRule>
  </conditionalFormatting>
  <conditionalFormatting sqref="C122:C125">
    <cfRule type="containsText" dxfId="143" priority="220" stopIfTrue="1" operator="containsText" text="Thành viên chính">
      <formula>NOT(ISERROR(SEARCH("Thành viên chính",C122)))</formula>
    </cfRule>
    <cfRule type="containsText" dxfId="142" priority="221" stopIfTrue="1" operator="containsText" text="Thư ký khoa học">
      <formula>NOT(ISERROR(SEARCH("Thư ký khoa học",C122)))</formula>
    </cfRule>
    <cfRule type="containsText" dxfId="141" priority="222" stopIfTrue="1" operator="containsText" text="Chủ nhiệm đề tài">
      <formula>NOT(ISERROR(SEARCH("Chủ nhiệm đề tài",C122)))</formula>
    </cfRule>
  </conditionalFormatting>
  <conditionalFormatting sqref="A122:A124">
    <cfRule type="containsText" dxfId="140" priority="214" stopIfTrue="1" operator="containsText" text="Thành viên chính">
      <formula>NOT(ISERROR(SEARCH("Thành viên chính",A122)))</formula>
    </cfRule>
    <cfRule type="containsText" dxfId="139" priority="215" stopIfTrue="1" operator="containsText" text="Thư ký khoa học">
      <formula>NOT(ISERROR(SEARCH("Thư ký khoa học",A122)))</formula>
    </cfRule>
    <cfRule type="containsText" dxfId="138" priority="216" stopIfTrue="1" operator="containsText" text="Chủ nhiệm đề tài">
      <formula>NOT(ISERROR(SEARCH("Chủ nhiệm đề tài",A122)))</formula>
    </cfRule>
  </conditionalFormatting>
  <conditionalFormatting sqref="C113:C116">
    <cfRule type="containsText" dxfId="137" priority="208" stopIfTrue="1" operator="containsText" text="Thành viên chính">
      <formula>NOT(ISERROR(SEARCH("Thành viên chính",C113)))</formula>
    </cfRule>
    <cfRule type="containsText" dxfId="136" priority="209" stopIfTrue="1" operator="containsText" text="Thư ký khoa học">
      <formula>NOT(ISERROR(SEARCH("Thư ký khoa học",C113)))</formula>
    </cfRule>
    <cfRule type="containsText" dxfId="135" priority="210" stopIfTrue="1" operator="containsText" text="Chủ nhiệm đề tài">
      <formula>NOT(ISERROR(SEARCH("Chủ nhiệm đề tài",C113)))</formula>
    </cfRule>
  </conditionalFormatting>
  <conditionalFormatting sqref="B113:B114 B116">
    <cfRule type="containsText" dxfId="134" priority="205" stopIfTrue="1" operator="containsText" text="Thành viên chính">
      <formula>NOT(ISERROR(SEARCH("Thành viên chính",B113)))</formula>
    </cfRule>
    <cfRule type="containsText" dxfId="133" priority="206" stopIfTrue="1" operator="containsText" text="Thư ký khoa học">
      <formula>NOT(ISERROR(SEARCH("Thư ký khoa học",B113)))</formula>
    </cfRule>
    <cfRule type="containsText" dxfId="132" priority="207" stopIfTrue="1" operator="containsText" text="Chủ nhiệm đề tài">
      <formula>NOT(ISERROR(SEARCH("Chủ nhiệm đề tài",B113)))</formula>
    </cfRule>
  </conditionalFormatting>
  <conditionalFormatting sqref="A113:A116">
    <cfRule type="containsText" dxfId="131" priority="202" stopIfTrue="1" operator="containsText" text="Thành viên chính">
      <formula>NOT(ISERROR(SEARCH("Thành viên chính",A113)))</formula>
    </cfRule>
    <cfRule type="containsText" dxfId="130" priority="203" stopIfTrue="1" operator="containsText" text="Thư ký khoa học">
      <formula>NOT(ISERROR(SEARCH("Thư ký khoa học",A113)))</formula>
    </cfRule>
    <cfRule type="containsText" dxfId="129" priority="204" stopIfTrue="1" operator="containsText" text="Chủ nhiệm đề tài">
      <formula>NOT(ISERROR(SEARCH("Chủ nhiệm đề tài",A113)))</formula>
    </cfRule>
  </conditionalFormatting>
  <conditionalFormatting sqref="B115">
    <cfRule type="containsText" dxfId="128" priority="199" stopIfTrue="1" operator="containsText" text="Thành viên chính">
      <formula>NOT(ISERROR(SEARCH("Thành viên chính",B115)))</formula>
    </cfRule>
    <cfRule type="containsText" dxfId="127" priority="200" stopIfTrue="1" operator="containsText" text="Thư ký khoa học">
      <formula>NOT(ISERROR(SEARCH("Thư ký khoa học",B115)))</formula>
    </cfRule>
    <cfRule type="containsText" dxfId="126" priority="201" stopIfTrue="1" operator="containsText" text="Chủ nhiệm đề tài">
      <formula>NOT(ISERROR(SEARCH("Chủ nhiệm đề tài",B115)))</formula>
    </cfRule>
  </conditionalFormatting>
  <conditionalFormatting sqref="B124">
    <cfRule type="containsText" dxfId="125" priority="193" stopIfTrue="1" operator="containsText" text="Thành viên chính">
      <formula>NOT(ISERROR(SEARCH("Thành viên chính",B124)))</formula>
    </cfRule>
    <cfRule type="containsText" dxfId="124" priority="194" stopIfTrue="1" operator="containsText" text="Thư ký khoa học">
      <formula>NOT(ISERROR(SEARCH("Thư ký khoa học",B124)))</formula>
    </cfRule>
    <cfRule type="containsText" dxfId="123" priority="195" stopIfTrue="1" operator="containsText" text="Chủ nhiệm đề tài">
      <formula>NOT(ISERROR(SEARCH("Chủ nhiệm đề tài",B124)))</formula>
    </cfRule>
  </conditionalFormatting>
  <conditionalFormatting sqref="D113:D116">
    <cfRule type="containsText" dxfId="122" priority="160" stopIfTrue="1" operator="containsText" text="Thành viên chính">
      <formula>NOT(ISERROR(SEARCH("Thành viên chính",D113)))</formula>
    </cfRule>
    <cfRule type="containsText" dxfId="121" priority="161" stopIfTrue="1" operator="containsText" text="Thư ký khoa học">
      <formula>NOT(ISERROR(SEARCH("Thư ký khoa học",D113)))</formula>
    </cfRule>
    <cfRule type="containsText" dxfId="120" priority="162" stopIfTrue="1" operator="containsText" text="Chủ nhiệm đề tài">
      <formula>NOT(ISERROR(SEARCH("Chủ nhiệm đề tài",D113)))</formula>
    </cfRule>
  </conditionalFormatting>
  <conditionalFormatting sqref="D122:D125">
    <cfRule type="containsText" dxfId="119" priority="157" stopIfTrue="1" operator="containsText" text="Thành viên chính">
      <formula>NOT(ISERROR(SEARCH("Thành viên chính",D122)))</formula>
    </cfRule>
    <cfRule type="containsText" dxfId="118" priority="158" stopIfTrue="1" operator="containsText" text="Thư ký khoa học">
      <formula>NOT(ISERROR(SEARCH("Thư ký khoa học",D122)))</formula>
    </cfRule>
    <cfRule type="containsText" dxfId="117" priority="159" stopIfTrue="1" operator="containsText" text="Chủ nhiệm đề tài">
      <formula>NOT(ISERROR(SEARCH("Chủ nhiệm đề tài",D122)))</formula>
    </cfRule>
  </conditionalFormatting>
  <conditionalFormatting sqref="C107:H107">
    <cfRule type="containsText" dxfId="116" priority="151" stopIfTrue="1" operator="containsText" text="Thành viên chính">
      <formula>NOT(ISERROR(SEARCH("Thành viên chính",C107)))</formula>
    </cfRule>
    <cfRule type="containsText" dxfId="115" priority="152" stopIfTrue="1" operator="containsText" text="Thư ký khoa học">
      <formula>NOT(ISERROR(SEARCH("Thư ký khoa học",C107)))</formula>
    </cfRule>
    <cfRule type="containsText" dxfId="114" priority="153" stopIfTrue="1" operator="containsText" text="Chủ nhiệm đề tài">
      <formula>NOT(ISERROR(SEARCH("Chủ nhiệm đề tài",C107)))</formula>
    </cfRule>
  </conditionalFormatting>
  <conditionalFormatting sqref="A107">
    <cfRule type="containsText" dxfId="113" priority="148" stopIfTrue="1" operator="containsText" text="Thành viên chính">
      <formula>NOT(ISERROR(SEARCH("Thành viên chính",A107)))</formula>
    </cfRule>
    <cfRule type="containsText" dxfId="112" priority="149" stopIfTrue="1" operator="containsText" text="Thư ký khoa học">
      <formula>NOT(ISERROR(SEARCH("Thư ký khoa học",A107)))</formula>
    </cfRule>
    <cfRule type="containsText" dxfId="111" priority="150" stopIfTrue="1" operator="containsText" text="Chủ nhiệm đề tài">
      <formula>NOT(ISERROR(SEARCH("Chủ nhiệm đề tài",A107)))</formula>
    </cfRule>
  </conditionalFormatting>
  <conditionalFormatting sqref="H108">
    <cfRule type="containsText" dxfId="110" priority="142" stopIfTrue="1" operator="containsText" text="Thành viên chính">
      <formula>NOT(ISERROR(SEARCH("Thành viên chính",H108)))</formula>
    </cfRule>
    <cfRule type="containsText" dxfId="109" priority="143" stopIfTrue="1" operator="containsText" text="Thư ký khoa học">
      <formula>NOT(ISERROR(SEARCH("Thư ký khoa học",H108)))</formula>
    </cfRule>
    <cfRule type="containsText" dxfId="108" priority="144" stopIfTrue="1" operator="containsText" text="Chủ nhiệm đề tài">
      <formula>NOT(ISERROR(SEARCH("Chủ nhiệm đề tài",H108)))</formula>
    </cfRule>
  </conditionalFormatting>
  <conditionalFormatting sqref="B108:E108">
    <cfRule type="containsText" dxfId="107" priority="145" stopIfTrue="1" operator="containsText" text="Thành viên chính">
      <formula>NOT(ISERROR(SEARCH("Thành viên chính",B108)))</formula>
    </cfRule>
    <cfRule type="containsText" dxfId="106" priority="146" stopIfTrue="1" operator="containsText" text="Thư ký khoa học">
      <formula>NOT(ISERROR(SEARCH("Thư ký khoa học",B108)))</formula>
    </cfRule>
    <cfRule type="containsText" dxfId="105" priority="147" stopIfTrue="1" operator="containsText" text="Chủ nhiệm đề tài">
      <formula>NOT(ISERROR(SEARCH("Chủ nhiệm đề tài",B108)))</formula>
    </cfRule>
  </conditionalFormatting>
  <conditionalFormatting sqref="F108">
    <cfRule type="containsText" dxfId="104" priority="139" stopIfTrue="1" operator="containsText" text="Thành viên chính">
      <formula>NOT(ISERROR(SEARCH("Thành viên chính",F108)))</formula>
    </cfRule>
    <cfRule type="containsText" dxfId="103" priority="140" stopIfTrue="1" operator="containsText" text="Thư ký khoa học">
      <formula>NOT(ISERROR(SEARCH("Thư ký khoa học",F108)))</formula>
    </cfRule>
    <cfRule type="containsText" dxfId="102" priority="141" stopIfTrue="1" operator="containsText" text="Chủ nhiệm đề tài">
      <formula>NOT(ISERROR(SEARCH("Chủ nhiệm đề tài",F108)))</formula>
    </cfRule>
  </conditionalFormatting>
  <conditionalFormatting sqref="H112">
    <cfRule type="containsText" dxfId="101" priority="133" stopIfTrue="1" operator="containsText" text="Thành viên chính">
      <formula>NOT(ISERROR(SEARCH("Thành viên chính",H112)))</formula>
    </cfRule>
    <cfRule type="containsText" dxfId="100" priority="134" stopIfTrue="1" operator="containsText" text="Thư ký khoa học">
      <formula>NOT(ISERROR(SEARCH("Thư ký khoa học",H112)))</formula>
    </cfRule>
    <cfRule type="containsText" dxfId="99" priority="135" stopIfTrue="1" operator="containsText" text="Chủ nhiệm đề tài">
      <formula>NOT(ISERROR(SEARCH("Chủ nhiệm đề tài",H112)))</formula>
    </cfRule>
  </conditionalFormatting>
  <conditionalFormatting sqref="B112:E112">
    <cfRule type="containsText" dxfId="98" priority="136" stopIfTrue="1" operator="containsText" text="Thành viên chính">
      <formula>NOT(ISERROR(SEARCH("Thành viên chính",B112)))</formula>
    </cfRule>
    <cfRule type="containsText" dxfId="97" priority="137" stopIfTrue="1" operator="containsText" text="Thư ký khoa học">
      <formula>NOT(ISERROR(SEARCH("Thư ký khoa học",B112)))</formula>
    </cfRule>
    <cfRule type="containsText" dxfId="96" priority="138" stopIfTrue="1" operator="containsText" text="Chủ nhiệm đề tài">
      <formula>NOT(ISERROR(SEARCH("Chủ nhiệm đề tài",B112)))</formula>
    </cfRule>
  </conditionalFormatting>
  <conditionalFormatting sqref="F112">
    <cfRule type="containsText" dxfId="95" priority="130" stopIfTrue="1" operator="containsText" text="Thành viên chính">
      <formula>NOT(ISERROR(SEARCH("Thành viên chính",F112)))</formula>
    </cfRule>
    <cfRule type="containsText" dxfId="94" priority="131" stopIfTrue="1" operator="containsText" text="Thư ký khoa học">
      <formula>NOT(ISERROR(SEARCH("Thư ký khoa học",F112)))</formula>
    </cfRule>
    <cfRule type="containsText" dxfId="93" priority="132" stopIfTrue="1" operator="containsText" text="Chủ nhiệm đề tài">
      <formula>NOT(ISERROR(SEARCH("Chủ nhiệm đề tài",F112)))</formula>
    </cfRule>
  </conditionalFormatting>
  <conditionalFormatting sqref="H121">
    <cfRule type="containsText" dxfId="92" priority="115" stopIfTrue="1" operator="containsText" text="Thành viên chính">
      <formula>NOT(ISERROR(SEARCH("Thành viên chính",H121)))</formula>
    </cfRule>
    <cfRule type="containsText" dxfId="91" priority="116" stopIfTrue="1" operator="containsText" text="Thư ký khoa học">
      <formula>NOT(ISERROR(SEARCH("Thư ký khoa học",H121)))</formula>
    </cfRule>
    <cfRule type="containsText" dxfId="90" priority="117" stopIfTrue="1" operator="containsText" text="Chủ nhiệm đề tài">
      <formula>NOT(ISERROR(SEARCH("Chủ nhiệm đề tài",H121)))</formula>
    </cfRule>
  </conditionalFormatting>
  <conditionalFormatting sqref="B121:E121">
    <cfRule type="containsText" dxfId="89" priority="118" stopIfTrue="1" operator="containsText" text="Thành viên chính">
      <formula>NOT(ISERROR(SEARCH("Thành viên chính",B121)))</formula>
    </cfRule>
    <cfRule type="containsText" dxfId="88" priority="119" stopIfTrue="1" operator="containsText" text="Thư ký khoa học">
      <formula>NOT(ISERROR(SEARCH("Thư ký khoa học",B121)))</formula>
    </cfRule>
    <cfRule type="containsText" dxfId="87" priority="120" stopIfTrue="1" operator="containsText" text="Chủ nhiệm đề tài">
      <formula>NOT(ISERROR(SEARCH("Chủ nhiệm đề tài",B121)))</formula>
    </cfRule>
  </conditionalFormatting>
  <conditionalFormatting sqref="F121">
    <cfRule type="containsText" dxfId="86" priority="112" stopIfTrue="1" operator="containsText" text="Thành viên chính">
      <formula>NOT(ISERROR(SEARCH("Thành viên chính",F121)))</formula>
    </cfRule>
    <cfRule type="containsText" dxfId="85" priority="113" stopIfTrue="1" operator="containsText" text="Thư ký khoa học">
      <formula>NOT(ISERROR(SEARCH("Thư ký khoa học",F121)))</formula>
    </cfRule>
    <cfRule type="containsText" dxfId="84" priority="114" stopIfTrue="1" operator="containsText" text="Chủ nhiệm đề tài">
      <formula>NOT(ISERROR(SEARCH("Chủ nhiệm đề tài",F121)))</formula>
    </cfRule>
  </conditionalFormatting>
  <conditionalFormatting sqref="N12">
    <cfRule type="containsText" dxfId="83" priority="82" stopIfTrue="1" operator="containsText" text="Thành viên chính">
      <formula>NOT(ISERROR(SEARCH("Thành viên chính",N12)))</formula>
    </cfRule>
    <cfRule type="containsText" dxfId="82" priority="83" stopIfTrue="1" operator="containsText" text="Thư ký khoa học">
      <formula>NOT(ISERROR(SEARCH("Thư ký khoa học",N12)))</formula>
    </cfRule>
    <cfRule type="containsText" dxfId="81" priority="84" stopIfTrue="1" operator="containsText" text="Chủ nhiệm đề tài">
      <formula>NOT(ISERROR(SEARCH("Chủ nhiệm đề tài",N12)))</formula>
    </cfRule>
  </conditionalFormatting>
  <conditionalFormatting sqref="N13">
    <cfRule type="containsText" dxfId="80" priority="79" stopIfTrue="1" operator="containsText" text="Thành viên chính">
      <formula>NOT(ISERROR(SEARCH("Thành viên chính",N13)))</formula>
    </cfRule>
    <cfRule type="containsText" dxfId="79" priority="80" stopIfTrue="1" operator="containsText" text="Thư ký khoa học">
      <formula>NOT(ISERROR(SEARCH("Thư ký khoa học",N13)))</formula>
    </cfRule>
    <cfRule type="containsText" dxfId="78" priority="81" stopIfTrue="1" operator="containsText" text="Chủ nhiệm đề tài">
      <formula>NOT(ISERROR(SEARCH("Chủ nhiệm đề tài",N13)))</formula>
    </cfRule>
  </conditionalFormatting>
  <conditionalFormatting sqref="E100">
    <cfRule type="containsText" dxfId="77" priority="76" stopIfTrue="1" operator="containsText" text="Thành viên chính">
      <formula>NOT(ISERROR(SEARCH("Thành viên chính",E100)))</formula>
    </cfRule>
    <cfRule type="containsText" dxfId="76" priority="77" stopIfTrue="1" operator="containsText" text="Thư ký khoa học">
      <formula>NOT(ISERROR(SEARCH("Thư ký khoa học",E100)))</formula>
    </cfRule>
    <cfRule type="containsText" dxfId="75" priority="78" stopIfTrue="1" operator="containsText" text="Chủ nhiệm đề tài">
      <formula>NOT(ISERROR(SEARCH("Chủ nhiệm đề tài",E100)))</formula>
    </cfRule>
  </conditionalFormatting>
  <conditionalFormatting sqref="E106">
    <cfRule type="containsText" dxfId="74" priority="73" stopIfTrue="1" operator="containsText" text="Thành viên chính">
      <formula>NOT(ISERROR(SEARCH("Thành viên chính",E106)))</formula>
    </cfRule>
    <cfRule type="containsText" dxfId="73" priority="74" stopIfTrue="1" operator="containsText" text="Thư ký khoa học">
      <formula>NOT(ISERROR(SEARCH("Thư ký khoa học",E106)))</formula>
    </cfRule>
    <cfRule type="containsText" dxfId="72" priority="75" stopIfTrue="1" operator="containsText" text="Chủ nhiệm đề tài">
      <formula>NOT(ISERROR(SEARCH("Chủ nhiệm đề tài",E106)))</formula>
    </cfRule>
  </conditionalFormatting>
  <conditionalFormatting sqref="E111">
    <cfRule type="containsText" dxfId="71" priority="70" stopIfTrue="1" operator="containsText" text="Thành viên chính">
      <formula>NOT(ISERROR(SEARCH("Thành viên chính",E111)))</formula>
    </cfRule>
    <cfRule type="containsText" dxfId="70" priority="71" stopIfTrue="1" operator="containsText" text="Thư ký khoa học">
      <formula>NOT(ISERROR(SEARCH("Thư ký khoa học",E111)))</formula>
    </cfRule>
    <cfRule type="containsText" dxfId="69" priority="72" stopIfTrue="1" operator="containsText" text="Chủ nhiệm đề tài">
      <formula>NOT(ISERROR(SEARCH("Chủ nhiệm đề tài",E111)))</formula>
    </cfRule>
  </conditionalFormatting>
  <conditionalFormatting sqref="E123">
    <cfRule type="containsText" dxfId="68" priority="67" stopIfTrue="1" operator="containsText" text="Thành viên chính">
      <formula>NOT(ISERROR(SEARCH("Thành viên chính",E123)))</formula>
    </cfRule>
    <cfRule type="containsText" dxfId="67" priority="68" stopIfTrue="1" operator="containsText" text="Thư ký khoa học">
      <formula>NOT(ISERROR(SEARCH("Thư ký khoa học",E123)))</formula>
    </cfRule>
    <cfRule type="containsText" dxfId="66" priority="69" stopIfTrue="1" operator="containsText" text="Chủ nhiệm đề tài">
      <formula>NOT(ISERROR(SEARCH("Chủ nhiệm đề tài",E123)))</formula>
    </cfRule>
  </conditionalFormatting>
  <conditionalFormatting sqref="H127">
    <cfRule type="containsText" dxfId="65" priority="61" stopIfTrue="1" operator="containsText" text="Thành viên chính">
      <formula>NOT(ISERROR(SEARCH("Thành viên chính",H127)))</formula>
    </cfRule>
    <cfRule type="containsText" dxfId="64" priority="62" stopIfTrue="1" operator="containsText" text="Thư ký khoa học">
      <formula>NOT(ISERROR(SEARCH("Thư ký khoa học",H127)))</formula>
    </cfRule>
    <cfRule type="containsText" dxfId="63" priority="63" stopIfTrue="1" operator="containsText" text="Chủ nhiệm đề tài">
      <formula>NOT(ISERROR(SEARCH("Chủ nhiệm đề tài",H127)))</formula>
    </cfRule>
  </conditionalFormatting>
  <conditionalFormatting sqref="D127:F127">
    <cfRule type="containsText" dxfId="62" priority="64" stopIfTrue="1" operator="containsText" text="Thành viên chính">
      <formula>NOT(ISERROR(SEARCH("Thành viên chính",D127)))</formula>
    </cfRule>
    <cfRule type="containsText" dxfId="61" priority="65" stopIfTrue="1" operator="containsText" text="Thư ký khoa học">
      <formula>NOT(ISERROR(SEARCH("Thư ký khoa học",D127)))</formula>
    </cfRule>
    <cfRule type="containsText" dxfId="60" priority="66" stopIfTrue="1" operator="containsText" text="Chủ nhiệm đề tài">
      <formula>NOT(ISERROR(SEARCH("Chủ nhiệm đề tài",D127)))</formula>
    </cfRule>
  </conditionalFormatting>
  <conditionalFormatting sqref="B127:C127">
    <cfRule type="containsText" dxfId="59" priority="58" stopIfTrue="1" operator="containsText" text="Thành viên chính">
      <formula>NOT(ISERROR(SEARCH("Thành viên chính",B127)))</formula>
    </cfRule>
    <cfRule type="containsText" dxfId="58" priority="59" stopIfTrue="1" operator="containsText" text="Thư ký khoa học">
      <formula>NOT(ISERROR(SEARCH("Thư ký khoa học",B127)))</formula>
    </cfRule>
    <cfRule type="containsText" dxfId="57" priority="60" stopIfTrue="1" operator="containsText" text="Chủ nhiệm đề tài">
      <formula>NOT(ISERROR(SEARCH("Chủ nhiệm đề tài",B127)))</formula>
    </cfRule>
  </conditionalFormatting>
  <conditionalFormatting sqref="H128">
    <cfRule type="containsText" dxfId="56" priority="49" stopIfTrue="1" operator="containsText" text="Thành viên chính">
      <formula>NOT(ISERROR(SEARCH("Thành viên chính",H128)))</formula>
    </cfRule>
    <cfRule type="containsText" dxfId="55" priority="50" stopIfTrue="1" operator="containsText" text="Thư ký khoa học">
      <formula>NOT(ISERROR(SEARCH("Thư ký khoa học",H128)))</formula>
    </cfRule>
    <cfRule type="containsText" dxfId="54" priority="51" stopIfTrue="1" operator="containsText" text="Chủ nhiệm đề tài">
      <formula>NOT(ISERROR(SEARCH("Chủ nhiệm đề tài",H128)))</formula>
    </cfRule>
  </conditionalFormatting>
  <conditionalFormatting sqref="E128">
    <cfRule type="containsText" dxfId="53" priority="55" stopIfTrue="1" operator="containsText" text="Thành viên chính">
      <formula>NOT(ISERROR(SEARCH("Thành viên chính",E128)))</formula>
    </cfRule>
    <cfRule type="containsText" dxfId="52" priority="56" stopIfTrue="1" operator="containsText" text="Thư ký khoa học">
      <formula>NOT(ISERROR(SEARCH("Thư ký khoa học",E128)))</formula>
    </cfRule>
    <cfRule type="containsText" dxfId="51" priority="57" stopIfTrue="1" operator="containsText" text="Chủ nhiệm đề tài">
      <formula>NOT(ISERROR(SEARCH("Chủ nhiệm đề tài",E128)))</formula>
    </cfRule>
  </conditionalFormatting>
  <conditionalFormatting sqref="F128">
    <cfRule type="containsText" dxfId="50" priority="52" stopIfTrue="1" operator="containsText" text="Thành viên chính">
      <formula>NOT(ISERROR(SEARCH("Thành viên chính",F128)))</formula>
    </cfRule>
    <cfRule type="containsText" dxfId="49" priority="53" stopIfTrue="1" operator="containsText" text="Thư ký khoa học">
      <formula>NOT(ISERROR(SEARCH("Thư ký khoa học",F128)))</formula>
    </cfRule>
    <cfRule type="containsText" dxfId="48" priority="54" stopIfTrue="1" operator="containsText" text="Chủ nhiệm đề tài">
      <formula>NOT(ISERROR(SEARCH("Chủ nhiệm đề tài",F128)))</formula>
    </cfRule>
  </conditionalFormatting>
  <conditionalFormatting sqref="B128">
    <cfRule type="containsText" dxfId="47" priority="43" stopIfTrue="1" operator="containsText" text="Thành viên chính">
      <formula>NOT(ISERROR(SEARCH("Thành viên chính",B128)))</formula>
    </cfRule>
    <cfRule type="containsText" dxfId="46" priority="44" stopIfTrue="1" operator="containsText" text="Thư ký khoa học">
      <formula>NOT(ISERROR(SEARCH("Thư ký khoa học",B128)))</formula>
    </cfRule>
    <cfRule type="containsText" dxfId="45" priority="45" stopIfTrue="1" operator="containsText" text="Chủ nhiệm đề tài">
      <formula>NOT(ISERROR(SEARCH("Chủ nhiệm đề tài",B128)))</formula>
    </cfRule>
  </conditionalFormatting>
  <conditionalFormatting sqref="C128">
    <cfRule type="containsText" dxfId="44" priority="46" stopIfTrue="1" operator="containsText" text="Thành viên chính">
      <formula>NOT(ISERROR(SEARCH("Thành viên chính",C128)))</formula>
    </cfRule>
    <cfRule type="containsText" dxfId="43" priority="47" stopIfTrue="1" operator="containsText" text="Thư ký khoa học">
      <formula>NOT(ISERROR(SEARCH("Thư ký khoa học",C128)))</formula>
    </cfRule>
    <cfRule type="containsText" dxfId="42" priority="48" stopIfTrue="1" operator="containsText" text="Chủ nhiệm đề tài">
      <formula>NOT(ISERROR(SEARCH("Chủ nhiệm đề tài",C128)))</formula>
    </cfRule>
  </conditionalFormatting>
  <conditionalFormatting sqref="D128">
    <cfRule type="containsText" dxfId="41" priority="40" stopIfTrue="1" operator="containsText" text="Thành viên chính">
      <formula>NOT(ISERROR(SEARCH("Thành viên chính",D128)))</formula>
    </cfRule>
    <cfRule type="containsText" dxfId="40" priority="41" stopIfTrue="1" operator="containsText" text="Thư ký khoa học">
      <formula>NOT(ISERROR(SEARCH("Thư ký khoa học",D128)))</formula>
    </cfRule>
    <cfRule type="containsText" dxfId="39" priority="42" stopIfTrue="1" operator="containsText" text="Chủ nhiệm đề tài">
      <formula>NOT(ISERROR(SEARCH("Chủ nhiệm đề tài",D128)))</formula>
    </cfRule>
  </conditionalFormatting>
  <conditionalFormatting sqref="B20">
    <cfRule type="containsText" dxfId="38" priority="37" stopIfTrue="1" operator="containsText" text="Thành viên chính">
      <formula>NOT(ISERROR(SEARCH("Thành viên chính",B20)))</formula>
    </cfRule>
    <cfRule type="containsText" dxfId="37" priority="38" stopIfTrue="1" operator="containsText" text="Thư ký khoa học">
      <formula>NOT(ISERROR(SEARCH("Thư ký khoa học",B20)))</formula>
    </cfRule>
    <cfRule type="containsText" dxfId="36" priority="39" stopIfTrue="1" operator="containsText" text="Chủ nhiệm đề tài">
      <formula>NOT(ISERROR(SEARCH("Chủ nhiệm đề tài",B20)))</formula>
    </cfRule>
  </conditionalFormatting>
  <conditionalFormatting sqref="B29">
    <cfRule type="containsText" dxfId="35" priority="34" stopIfTrue="1" operator="containsText" text="Thành viên chính">
      <formula>NOT(ISERROR(SEARCH("Thành viên chính",B29)))</formula>
    </cfRule>
    <cfRule type="containsText" dxfId="34" priority="35" stopIfTrue="1" operator="containsText" text="Thư ký khoa học">
      <formula>NOT(ISERROR(SEARCH("Thư ký khoa học",B29)))</formula>
    </cfRule>
    <cfRule type="containsText" dxfId="33" priority="36" stopIfTrue="1" operator="containsText" text="Chủ nhiệm đề tài">
      <formula>NOT(ISERROR(SEARCH("Chủ nhiệm đề tài",B29)))</formula>
    </cfRule>
  </conditionalFormatting>
  <conditionalFormatting sqref="B38">
    <cfRule type="containsText" dxfId="32" priority="31" stopIfTrue="1" operator="containsText" text="Thành viên chính">
      <formula>NOT(ISERROR(SEARCH("Thành viên chính",B38)))</formula>
    </cfRule>
    <cfRule type="containsText" dxfId="31" priority="32" stopIfTrue="1" operator="containsText" text="Thư ký khoa học">
      <formula>NOT(ISERROR(SEARCH("Thư ký khoa học",B38)))</formula>
    </cfRule>
    <cfRule type="containsText" dxfId="30" priority="33" stopIfTrue="1" operator="containsText" text="Chủ nhiệm đề tài">
      <formula>NOT(ISERROR(SEARCH("Chủ nhiệm đề tài",B38)))</formula>
    </cfRule>
  </conditionalFormatting>
  <conditionalFormatting sqref="B43">
    <cfRule type="containsText" dxfId="29" priority="28" stopIfTrue="1" operator="containsText" text="Thành viên chính">
      <formula>NOT(ISERROR(SEARCH("Thành viên chính",B43)))</formula>
    </cfRule>
    <cfRule type="containsText" dxfId="28" priority="29" stopIfTrue="1" operator="containsText" text="Thư ký khoa học">
      <formula>NOT(ISERROR(SEARCH("Thư ký khoa học",B43)))</formula>
    </cfRule>
    <cfRule type="containsText" dxfId="27" priority="30" stopIfTrue="1" operator="containsText" text="Chủ nhiệm đề tài">
      <formula>NOT(ISERROR(SEARCH("Chủ nhiệm đề tài",B43)))</formula>
    </cfRule>
  </conditionalFormatting>
  <conditionalFormatting sqref="B55">
    <cfRule type="containsText" dxfId="26" priority="25" stopIfTrue="1" operator="containsText" text="Thành viên chính">
      <formula>NOT(ISERROR(SEARCH("Thành viên chính",B55)))</formula>
    </cfRule>
    <cfRule type="containsText" dxfId="25" priority="26" stopIfTrue="1" operator="containsText" text="Thư ký khoa học">
      <formula>NOT(ISERROR(SEARCH("Thư ký khoa học",B55)))</formula>
    </cfRule>
    <cfRule type="containsText" dxfId="24" priority="27" stopIfTrue="1" operator="containsText" text="Chủ nhiệm đề tài">
      <formula>NOT(ISERROR(SEARCH("Chủ nhiệm đề tài",B55)))</formula>
    </cfRule>
  </conditionalFormatting>
  <conditionalFormatting sqref="B58">
    <cfRule type="containsText" dxfId="23" priority="22" stopIfTrue="1" operator="containsText" text="Thành viên chính">
      <formula>NOT(ISERROR(SEARCH("Thành viên chính",B58)))</formula>
    </cfRule>
    <cfRule type="containsText" dxfId="22" priority="23" stopIfTrue="1" operator="containsText" text="Thư ký khoa học">
      <formula>NOT(ISERROR(SEARCH("Thư ký khoa học",B58)))</formula>
    </cfRule>
    <cfRule type="containsText" dxfId="21" priority="24" stopIfTrue="1" operator="containsText" text="Chủ nhiệm đề tài">
      <formula>NOT(ISERROR(SEARCH("Chủ nhiệm đề tài",B58)))</formula>
    </cfRule>
  </conditionalFormatting>
  <conditionalFormatting sqref="B83">
    <cfRule type="containsText" dxfId="20" priority="19" stopIfTrue="1" operator="containsText" text="Thành viên chính">
      <formula>NOT(ISERROR(SEARCH("Thành viên chính",B83)))</formula>
    </cfRule>
    <cfRule type="containsText" dxfId="19" priority="20" stopIfTrue="1" operator="containsText" text="Thư ký khoa học">
      <formula>NOT(ISERROR(SEARCH("Thư ký khoa học",B83)))</formula>
    </cfRule>
    <cfRule type="containsText" dxfId="18" priority="21" stopIfTrue="1" operator="containsText" text="Chủ nhiệm đề tài">
      <formula>NOT(ISERROR(SEARCH("Chủ nhiệm đề tài",B83)))</formula>
    </cfRule>
  </conditionalFormatting>
  <conditionalFormatting sqref="B79">
    <cfRule type="containsText" dxfId="17" priority="16" stopIfTrue="1" operator="containsText" text="Thành viên chính">
      <formula>NOT(ISERROR(SEARCH("Thành viên chính",B79)))</formula>
    </cfRule>
    <cfRule type="containsText" dxfId="16" priority="17" stopIfTrue="1" operator="containsText" text="Thư ký khoa học">
      <formula>NOT(ISERROR(SEARCH("Thư ký khoa học",B79)))</formula>
    </cfRule>
    <cfRule type="containsText" dxfId="15" priority="18" stopIfTrue="1" operator="containsText" text="Chủ nhiệm đề tài">
      <formula>NOT(ISERROR(SEARCH("Chủ nhiệm đề tài",B79)))</formula>
    </cfRule>
  </conditionalFormatting>
  <conditionalFormatting sqref="B87">
    <cfRule type="containsText" dxfId="14" priority="13" stopIfTrue="1" operator="containsText" text="Thành viên chính">
      <formula>NOT(ISERROR(SEARCH("Thành viên chính",B87)))</formula>
    </cfRule>
    <cfRule type="containsText" dxfId="13" priority="14" stopIfTrue="1" operator="containsText" text="Thư ký khoa học">
      <formula>NOT(ISERROR(SEARCH("Thư ký khoa học",B87)))</formula>
    </cfRule>
    <cfRule type="containsText" dxfId="12" priority="15" stopIfTrue="1" operator="containsText" text="Chủ nhiệm đề tài">
      <formula>NOT(ISERROR(SEARCH("Chủ nhiệm đề tài",B87)))</formula>
    </cfRule>
  </conditionalFormatting>
  <conditionalFormatting sqref="B92">
    <cfRule type="containsText" dxfId="11" priority="10" stopIfTrue="1" operator="containsText" text="Thành viên chính">
      <formula>NOT(ISERROR(SEARCH("Thành viên chính",B92)))</formula>
    </cfRule>
    <cfRule type="containsText" dxfId="10" priority="11" stopIfTrue="1" operator="containsText" text="Thư ký khoa học">
      <formula>NOT(ISERROR(SEARCH("Thư ký khoa học",B92)))</formula>
    </cfRule>
    <cfRule type="containsText" dxfId="9" priority="12" stopIfTrue="1" operator="containsText" text="Chủ nhiệm đề tài">
      <formula>NOT(ISERROR(SEARCH("Chủ nhiệm đề tài",B92)))</formula>
    </cfRule>
  </conditionalFormatting>
  <conditionalFormatting sqref="B106">
    <cfRule type="containsText" dxfId="8" priority="7" stopIfTrue="1" operator="containsText" text="Thành viên chính">
      <formula>NOT(ISERROR(SEARCH("Thành viên chính",B106)))</formula>
    </cfRule>
    <cfRule type="containsText" dxfId="7" priority="8" stopIfTrue="1" operator="containsText" text="Thư ký khoa học">
      <formula>NOT(ISERROR(SEARCH("Thư ký khoa học",B106)))</formula>
    </cfRule>
    <cfRule type="containsText" dxfId="6" priority="9" stopIfTrue="1" operator="containsText" text="Chủ nhiệm đề tài">
      <formula>NOT(ISERROR(SEARCH("Chủ nhiệm đề tài",B106)))</formula>
    </cfRule>
  </conditionalFormatting>
  <conditionalFormatting sqref="B111">
    <cfRule type="containsText" dxfId="5" priority="4" stopIfTrue="1" operator="containsText" text="Thành viên chính">
      <formula>NOT(ISERROR(SEARCH("Thành viên chính",B111)))</formula>
    </cfRule>
    <cfRule type="containsText" dxfId="4" priority="5" stopIfTrue="1" operator="containsText" text="Thư ký khoa học">
      <formula>NOT(ISERROR(SEARCH("Thư ký khoa học",B111)))</formula>
    </cfRule>
    <cfRule type="containsText" dxfId="3" priority="6" stopIfTrue="1" operator="containsText" text="Chủ nhiệm đề tài">
      <formula>NOT(ISERROR(SEARCH("Chủ nhiệm đề tài",B111)))</formula>
    </cfRule>
  </conditionalFormatting>
  <conditionalFormatting sqref="B119">
    <cfRule type="containsText" dxfId="2" priority="1" stopIfTrue="1" operator="containsText" text="Thành viên chính">
      <formula>NOT(ISERROR(SEARCH("Thành viên chính",B119)))</formula>
    </cfRule>
    <cfRule type="containsText" dxfId="1" priority="2" stopIfTrue="1" operator="containsText" text="Thư ký khoa học">
      <formula>NOT(ISERROR(SEARCH("Thư ký khoa học",B119)))</formula>
    </cfRule>
    <cfRule type="containsText" dxfId="0" priority="3" stopIfTrue="1" operator="containsText" text="Chủ nhiệm đề tài">
      <formula>NOT(ISERROR(SEARCH("Chủ nhiệm đề tài",B119)))</formula>
    </cfRule>
  </conditionalFormatting>
  <pageMargins left="1" right="1" top="1" bottom="1" header="0.5" footer="0.5"/>
  <pageSetup paperSize="9"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Excel2LaTeX</vt:lpstr>
      <vt:lpstr>Tong hop</vt:lpstr>
      <vt:lpstr>Tong hop tien cong</vt:lpstr>
      <vt:lpstr>Chi tiet</vt:lpstr>
      <vt:lpstr>'Chi tiet'!Print_Area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2020-08-12T07:42:42Z</cp:lastPrinted>
  <dcterms:created xsi:type="dcterms:W3CDTF">2015-06-18T08:56:48Z</dcterms:created>
  <dcterms:modified xsi:type="dcterms:W3CDTF">2020-08-14T08:46:55Z</dcterms:modified>
</cp:coreProperties>
</file>